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.msc\DriftSense\"/>
    </mc:Choice>
  </mc:AlternateContent>
  <xr:revisionPtr revIDLastSave="0" documentId="13_ncr:1_{D1AE8C6A-C869-4526-A641-379F3C988066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Questions" sheetId="1" r:id="rId1"/>
    <sheet name="Responses" sheetId="2" r:id="rId2"/>
    <sheet name="Summary" sheetId="3" r:id="rId3"/>
  </sheets>
  <definedNames>
    <definedName name="_xlnm._FilterDatabase" localSheetId="0" hidden="1">Questions!$A$1:$F$42</definedName>
    <definedName name="_xlnm._FilterDatabase" localSheetId="1" hidden="1">Responses!$A$1:$AZ$13</definedName>
    <definedName name="_xlnm.Print_Area" localSheetId="0">Questions!$A$1:$F$42</definedName>
    <definedName name="_xlnm.Print_Area" localSheetId="1">Responses!$A$1:$AZ$13</definedName>
    <definedName name="_xlnm.Print_Area" localSheetId="2">Summary!$A$1:$K$42</definedName>
    <definedName name="_xlnm.Print_Titles" localSheetId="0">Questions!$1:$1</definedName>
    <definedName name="_xlnm.Print_Titles" localSheetId="1">Responses!$1:$1</definedName>
    <definedName name="_xlnm.Print_Titles" localSheetId="2">Summary!#REF!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C36" i="3"/>
  <c r="C35" i="3"/>
  <c r="C34" i="3"/>
  <c r="C33" i="3"/>
  <c r="C32" i="3"/>
  <c r="D27" i="3"/>
  <c r="C27" i="3"/>
  <c r="B27" i="3"/>
  <c r="D26" i="3"/>
  <c r="C26" i="3"/>
  <c r="B26" i="3"/>
  <c r="I21" i="3"/>
  <c r="G21" i="3"/>
  <c r="F21" i="3"/>
  <c r="E21" i="3"/>
  <c r="D21" i="3"/>
  <c r="K21" i="3" s="1"/>
  <c r="I20" i="3"/>
  <c r="G20" i="3"/>
  <c r="F20" i="3"/>
  <c r="E20" i="3"/>
  <c r="D20" i="3"/>
  <c r="K20" i="3" s="1"/>
  <c r="I19" i="3"/>
  <c r="G19" i="3"/>
  <c r="F19" i="3"/>
  <c r="E19" i="3"/>
  <c r="D19" i="3"/>
  <c r="K19" i="3" s="1"/>
  <c r="I18" i="3"/>
  <c r="G18" i="3"/>
  <c r="F18" i="3"/>
  <c r="E18" i="3"/>
  <c r="D18" i="3"/>
  <c r="K18" i="3" s="1"/>
  <c r="I17" i="3"/>
  <c r="G17" i="3"/>
  <c r="F17" i="3"/>
  <c r="E17" i="3"/>
  <c r="D17" i="3"/>
  <c r="K17" i="3" s="1"/>
  <c r="I16" i="3"/>
  <c r="G16" i="3"/>
  <c r="F16" i="3"/>
  <c r="E16" i="3"/>
  <c r="D16" i="3"/>
  <c r="K16" i="3" s="1"/>
  <c r="I15" i="3"/>
  <c r="G15" i="3"/>
  <c r="F15" i="3"/>
  <c r="E15" i="3"/>
  <c r="D15" i="3"/>
  <c r="K15" i="3" s="1"/>
  <c r="I14" i="3"/>
  <c r="G14" i="3"/>
  <c r="F14" i="3"/>
  <c r="H14" i="3" s="1"/>
  <c r="E14" i="3"/>
  <c r="D14" i="3"/>
  <c r="K14" i="3" s="1"/>
  <c r="I13" i="3"/>
  <c r="G13" i="3"/>
  <c r="F13" i="3"/>
  <c r="E13" i="3"/>
  <c r="D13" i="3"/>
  <c r="K13" i="3" s="1"/>
  <c r="I12" i="3"/>
  <c r="G12" i="3"/>
  <c r="F12" i="3"/>
  <c r="E12" i="3"/>
  <c r="D12" i="3"/>
  <c r="K12" i="3" s="1"/>
  <c r="I11" i="3"/>
  <c r="G11" i="3"/>
  <c r="F11" i="3"/>
  <c r="E11" i="3"/>
  <c r="D11" i="3"/>
  <c r="K11" i="3" s="1"/>
  <c r="I10" i="3"/>
  <c r="G10" i="3"/>
  <c r="F10" i="3"/>
  <c r="E10" i="3"/>
  <c r="D10" i="3"/>
  <c r="K10" i="3" s="1"/>
  <c r="I9" i="3"/>
  <c r="G9" i="3"/>
  <c r="F9" i="3"/>
  <c r="E9" i="3"/>
  <c r="D9" i="3"/>
  <c r="K9" i="3" s="1"/>
  <c r="I8" i="3"/>
  <c r="G8" i="3"/>
  <c r="F8" i="3"/>
  <c r="E8" i="3"/>
  <c r="D8" i="3"/>
  <c r="K8" i="3" s="1"/>
  <c r="I7" i="3"/>
  <c r="G7" i="3"/>
  <c r="F7" i="3"/>
  <c r="E7" i="3"/>
  <c r="D7" i="3"/>
  <c r="K7" i="3" s="1"/>
  <c r="G3" i="3"/>
  <c r="E3" i="3"/>
  <c r="C3" i="3"/>
  <c r="A3" i="3"/>
  <c r="J18" i="3" l="1"/>
  <c r="H16" i="3"/>
  <c r="J21" i="3"/>
  <c r="H19" i="3"/>
  <c r="H9" i="3"/>
  <c r="H7" i="3"/>
  <c r="H18" i="3"/>
  <c r="H15" i="3"/>
  <c r="H10" i="3"/>
  <c r="J20" i="3"/>
  <c r="J19" i="3"/>
  <c r="J17" i="3"/>
  <c r="J11" i="3"/>
  <c r="J8" i="3"/>
  <c r="J12" i="3"/>
  <c r="J10" i="3"/>
  <c r="J9" i="3"/>
  <c r="H12" i="3"/>
  <c r="H21" i="3"/>
  <c r="H17" i="3"/>
  <c r="J7" i="3"/>
  <c r="H11" i="3"/>
  <c r="H20" i="3"/>
  <c r="J16" i="3"/>
  <c r="H8" i="3"/>
  <c r="J15" i="3"/>
  <c r="H13" i="3"/>
  <c r="J14" i="3"/>
  <c r="J13" i="3"/>
</calcChain>
</file>

<file path=xl/sharedStrings.xml><?xml version="1.0" encoding="utf-8"?>
<sst xmlns="http://schemas.openxmlformats.org/spreadsheetml/2006/main" count="798" uniqueCount="325">
  <si>
    <t>Section</t>
  </si>
  <si>
    <t>Item ID</t>
  </si>
  <si>
    <t>Response type</t>
  </si>
  <si>
    <t>Question / statement</t>
  </si>
  <si>
    <t>Response options</t>
  </si>
  <si>
    <t>Applicability / scoring note</t>
  </si>
  <si>
    <t>Consent</t>
  </si>
  <si>
    <t>C1</t>
  </si>
  <si>
    <t>Yes/No</t>
  </si>
  <si>
    <t>The participant has read or received an explanation of the study.</t>
  </si>
  <si>
    <t>Yes; No</t>
  </si>
  <si>
    <t>Required before Phase 1</t>
  </si>
  <si>
    <t>C2</t>
  </si>
  <si>
    <t>The participant understands what they will be asked to do.</t>
  </si>
  <si>
    <t>C3</t>
  </si>
  <si>
    <t>The participant understands what DriftSense will and will not record.</t>
  </si>
  <si>
    <t>C4</t>
  </si>
  <si>
    <t>The participant understands that participation is voluntary and may be stopped without giving a reason.</t>
  </si>
  <si>
    <t>C5</t>
  </si>
  <si>
    <t>The participant understands how anonymized study data may be used.</t>
  </si>
  <si>
    <t>C6</t>
  </si>
  <si>
    <t>The participant had an opportunity to ask questions.</t>
  </si>
  <si>
    <t>C7</t>
  </si>
  <si>
    <t>The participant agrees to participate.</t>
  </si>
  <si>
    <t>Eligibility</t>
  </si>
  <si>
    <t>E1</t>
  </si>
  <si>
    <t>Meets the minimum age in the approved ethics protocol.</t>
  </si>
  <si>
    <t>Required</t>
  </si>
  <si>
    <t>E2</t>
  </si>
  <si>
    <t>Can use the required browser and study device.</t>
  </si>
  <si>
    <t>E3</t>
  </si>
  <si>
    <t>Understands the study instructions.</t>
  </si>
  <si>
    <t>E4</t>
  </si>
  <si>
    <t>Agrees to begin Phase 1.</t>
  </si>
  <si>
    <t>Phase 1 Likert</t>
  </si>
  <si>
    <t>A1.1</t>
  </si>
  <si>
    <t>Likert 1–5</t>
  </si>
  <si>
    <t>DriftSense was easy to use during Phase 1.</t>
  </si>
  <si>
    <t>1 Strongly disagree … 5 Strongly agree</t>
  </si>
  <si>
    <t>All participants</t>
  </si>
  <si>
    <t>A1.2</t>
  </si>
  <si>
    <t>Starting and ending a session was clear.</t>
  </si>
  <si>
    <t>A1.3</t>
  </si>
  <si>
    <t>The end-of-session question was easy to understand.</t>
  </si>
  <si>
    <t>A1.4</t>
  </si>
  <si>
    <t>I was comfortable with the information DriftSense recorded.</t>
  </si>
  <si>
    <t>A1.5</t>
  </si>
  <si>
    <t>Phase 1 added effort to my normal browser use.</t>
  </si>
  <si>
    <t>All participants; lower is favorable</t>
  </si>
  <si>
    <t>Phase 1 Open</t>
  </si>
  <si>
    <t>A2.1</t>
  </si>
  <si>
    <t>Open text</t>
  </si>
  <si>
    <t>Was anything confusing or difficult during Phase 1?</t>
  </si>
  <si>
    <t>Free response</t>
  </si>
  <si>
    <t>A2.2</t>
  </si>
  <si>
    <t>Did the end-of-session question make sense to you?</t>
  </si>
  <si>
    <t>A2.3</t>
  </si>
  <si>
    <t>What should be improved in the data-collection process?</t>
  </si>
  <si>
    <t>Phase 2 Exposure</t>
  </si>
  <si>
    <t>B1.1</t>
  </si>
  <si>
    <t>Choice</t>
  </si>
  <si>
    <t>Do you remember receiving at least one DriftSense reflective check-in during Phase 2?</t>
  </si>
  <si>
    <t>Yes; No; Not sure</t>
  </si>
  <si>
    <t>B1.2</t>
  </si>
  <si>
    <t>Do you remember hearing the ESP32 beep?</t>
  </si>
  <si>
    <t>Phase 2 Likert</t>
  </si>
  <si>
    <t>B2.1</t>
  </si>
  <si>
    <t>DriftSense was easy to use during Phase 2.</t>
  </si>
  <si>
    <t>B2.2</t>
  </si>
  <si>
    <t>B2.3</t>
  </si>
  <si>
    <t>Phase 2 added effort to my normal browser use.</t>
  </si>
  <si>
    <t>B2.4</t>
  </si>
  <si>
    <t>The check-ins occurred at appropriate times.</t>
  </si>
  <si>
    <t>Only if B1.1 = Yes</t>
  </si>
  <si>
    <t>B2.5</t>
  </si>
  <si>
    <t>The check-ins occurred when I needed to reconsider whether I was following my intended task.</t>
  </si>
  <si>
    <t>B2.6</t>
  </si>
  <si>
    <t>The check-ins helped me reflect on my current browser activity.</t>
  </si>
  <si>
    <t>B2.7</t>
  </si>
  <si>
    <t>The check-ins helped me return to my intended task when I wanted to.</t>
  </si>
  <si>
    <t>B2.8</t>
  </si>
  <si>
    <t>The check-ins interrupted activity that was useful for my intended task.</t>
  </si>
  <si>
    <t>Only if B1.1 = Yes; lower is favorable</t>
  </si>
  <si>
    <t>B2.9</t>
  </si>
  <si>
    <t>The check-ins were annoying.</t>
  </si>
  <si>
    <t>B2.10</t>
  </si>
  <si>
    <t>I preferred the Phase 2 experience to the Phase 1 experience.</t>
  </si>
  <si>
    <t>Phase 2 Open</t>
  </si>
  <si>
    <t>B3.1</t>
  </si>
  <si>
    <t>What did you usually do immediately after a check-in?</t>
  </si>
  <si>
    <t>B3.2</t>
  </si>
  <si>
    <t>Can you describe a time when a check-in felt useful or correctly timed?</t>
  </si>
  <si>
    <t>B3.3</t>
  </si>
  <si>
    <t>Can you describe a time when a check-in felt unnecessary, incorrect, or disruptive?</t>
  </si>
  <si>
    <t>B3.4</t>
  </si>
  <si>
    <t>How did the check-in affect your decision to continue or change your current activity?</t>
  </si>
  <si>
    <t>B3.5</t>
  </si>
  <si>
    <t>How did the ESP32 beep affect your experience?</t>
  </si>
  <si>
    <t>B3.6</t>
  </si>
  <si>
    <t>Were the check-ins too frequent, not frequent enough, or about right? Why?</t>
  </si>
  <si>
    <t>B3.7</t>
  </si>
  <si>
    <t>What should be improved about Phase 2?</t>
  </si>
  <si>
    <t>B3.8</t>
  </si>
  <si>
    <t>Which version would you choose—Phase 1, Phase 2, or neither—and why?</t>
  </si>
  <si>
    <t>Provenance</t>
  </si>
  <si>
    <t>P1</t>
  </si>
  <si>
    <t>These Phase 1 answers reflect my own experience; I answered as honestly as I could and could choose not sure or skip.</t>
  </si>
  <si>
    <t>Confirm; Prefer not to confirm</t>
  </si>
  <si>
    <t>After Phase 1</t>
  </si>
  <si>
    <t>P2</t>
  </si>
  <si>
    <t>These Phase 2 answers reflect my own experience; I answered as honestly as I could and could choose not sure or skip.</t>
  </si>
  <si>
    <t>After Phase 2</t>
  </si>
  <si>
    <t>Participant_ID</t>
  </si>
  <si>
    <t>Age_range</t>
  </si>
  <si>
    <t>Main_role</t>
  </si>
  <si>
    <t>Daily_browser_use</t>
  </si>
  <si>
    <t>Consent_date</t>
  </si>
  <si>
    <t>Researcher_code</t>
  </si>
  <si>
    <t>Phase1_completion_date</t>
  </si>
  <si>
    <t>Phase2_completion_date</t>
  </si>
  <si>
    <t>Useful_theme_code</t>
  </si>
  <si>
    <t>Limitation_theme_code</t>
  </si>
  <si>
    <t>Improvement_theme_code</t>
  </si>
  <si>
    <t>P01</t>
  </si>
  <si>
    <t>Yes</t>
  </si>
  <si>
    <t>18–24</t>
  </si>
  <si>
    <t>Student</t>
  </si>
  <si>
    <t>4–6 hours</t>
  </si>
  <si>
    <t>R01</t>
  </si>
  <si>
    <t>Confirm</t>
  </si>
  <si>
    <t>The first setup took a few minutes, but daily use was straightforward.</t>
  </si>
  <si>
    <t>Yes. I understood it as asking whether I stayed with the task I declared.</t>
  </si>
  <si>
    <t>A shorter first-run explanation of task sites would help.</t>
  </si>
  <si>
    <t>I paused, checked my task, and usually returned to the tab I meant to use.</t>
  </si>
  <si>
    <t>It appeared after I had followed unrelated links for a while; the timing felt fair.</t>
  </si>
  <si>
    <t>Once it appeared while I was checking a supporting source, so I dismissed it and continued.</t>
  </si>
  <si>
    <t>It made me make a deliberate choice instead of continuing automatically.</t>
  </si>
  <si>
    <t>The short beep made the check-in noticeable without blocking the page.</t>
  </si>
  <si>
    <t>About right; I noticed it, but it did not repeat in the same session.</t>
  </si>
  <si>
    <t>Let me choose between two quiet volume levels.</t>
  </si>
  <si>
    <t>Phase 2, because the occasional check-in helped me recover from drift.</t>
  </si>
  <si>
    <t>Goal reorientation</t>
  </si>
  <si>
    <t>Occasional false prompt</t>
  </si>
  <si>
    <t>Volume control</t>
  </si>
  <si>
    <t>P02</t>
  </si>
  <si>
    <t>25–34</t>
  </si>
  <si>
    <t>Knowledge worker</t>
  </si>
  <si>
    <t>6–8 hours</t>
  </si>
  <si>
    <t>I occasionally forgot to end a session when I finished working.</t>
  </si>
  <si>
    <t>Yes, the choices were simple and matched what happened.</t>
  </si>
  <si>
    <t>A gentle reminder for an unfinished session would be useful.</t>
  </si>
  <si>
    <t>I stopped for a moment and compared the current page with my original goal.</t>
  </si>
  <si>
    <t>A message link had led me into unrelated browsing, and the check-in helped me return.</t>
  </si>
  <si>
    <t>I do not remember a clearly wrong check-in.</t>
  </si>
  <si>
    <t>Usually I changed activity; when the page was still useful, I simply continued.</t>
  </si>
  <si>
    <t>It was clearer than a visual card alone and still brief.</t>
  </si>
  <si>
    <t>About right; more alerts would have become distracting.</t>
  </si>
  <si>
    <t>Show a small confirmation when I choose to continue intentionally.</t>
  </si>
  <si>
    <t>Phase 2; it added a useful moment of reflection without restricting access.</t>
  </si>
  <si>
    <t>No clear false prompt</t>
  </si>
  <si>
    <t>Continue confirmation</t>
  </si>
  <si>
    <t>P03</t>
  </si>
  <si>
    <t>Choosing all the sites I might need for research was unclear at first.</t>
  </si>
  <si>
    <t>Yes. It made me think about my original task rather than the website itself.</t>
  </si>
  <si>
    <t>Show one example of a mixed-use task site during setup.</t>
  </si>
  <si>
    <t>I finished the paragraph I was reading, then went back to the planned research.</t>
  </si>
  <si>
    <t>It was useful when my reading had slowly moved away from the question I started with.</t>
  </si>
  <si>
    <t>One check-in felt slightly early while I was following a relevant citation.</t>
  </si>
  <si>
    <t>It helped me decide whether the detour was still part of the task.</t>
  </si>
  <si>
    <t>The beep was noticeable but not harsh.</t>
  </si>
  <si>
    <t>About right overall; the one-per-session limit worked well for me.</t>
  </si>
  <si>
    <t>Allow a softer sound for quiet environments.</t>
  </si>
  <si>
    <t>Phase 2, mainly because it caught slow drift that I did not notice myself.</t>
  </si>
  <si>
    <t>Reflective awareness</t>
  </si>
  <si>
    <t>Occasional early prompt</t>
  </si>
  <si>
    <t>P04</t>
  </si>
  <si>
    <t>Software professional</t>
  </si>
  <si>
    <t>Nothing major; the start and stop controls were easy to find.</t>
  </si>
  <si>
    <t>Yes, it was brief and clear.</t>
  </si>
  <si>
    <t>Keep the controls visible when several tabs are open.</t>
  </si>
  <si>
    <t>I returned to my coding task almost immediately.</t>
  </si>
  <si>
    <t>It appeared after I opened several unrelated tabs during a break.</t>
  </si>
  <si>
    <t>I do not remember an unnecessary one.</t>
  </si>
  <si>
    <t>It broke the automatic browsing pattern and brought the task goal back to mind.</t>
  </si>
  <si>
    <t>The physical sound was easy to notice even when the browser was not in front.</t>
  </si>
  <si>
    <t>About right; it felt occasional rather than repetitive.</t>
  </si>
  <si>
    <t>A brief device connection indicator would improve confidence.</t>
  </si>
  <si>
    <t>Phase 2, because the model-triggered timing felt more relevant than a fixed reminder.</t>
  </si>
  <si>
    <t>Connection feedback</t>
  </si>
  <si>
    <t>P05</t>
  </si>
  <si>
    <t>One term needed a quick explanation on the first day.</t>
  </si>
  <si>
    <t>Yes, after the explanation it was easy to answer.</t>
  </si>
  <si>
    <t>Use plainer wording in the onboarding screen.</t>
  </si>
  <si>
    <t>I checked whether the video I was watching still supported my learning task.</t>
  </si>
  <si>
    <t>It helped when recommended videos had pulled me away from the tutorial topic.</t>
  </si>
  <si>
    <t>One appeared during a related example, but it was easy to ignore and continue.</t>
  </si>
  <si>
    <t>It prompted reflection without forcing me to leave the page.</t>
  </si>
  <si>
    <t>The beep was clear and short.</t>
  </si>
  <si>
    <t>About right; I would not want it more frequently.</t>
  </si>
  <si>
    <t>Keep the card visible a little longer when I am taking notes.</t>
  </si>
  <si>
    <t>Phase 2; the benefit was useful even though the timing was not perfect every time.</t>
  </si>
  <si>
    <t>Prompt duration</t>
  </si>
  <si>
    <t>P06</t>
  </si>
  <si>
    <t>Student and worker</t>
  </si>
  <si>
    <t>Very short sessions sometimes felt like extra recording work.</t>
  </si>
  <si>
    <t>Yes. I could answer without sharing what I was reading.</t>
  </si>
  <si>
    <t>Make repeated task setup faster while keeping the task type visible.</t>
  </si>
  <si>
    <t>I usually closed the unrelated tab and returned to the document I was working on.</t>
  </si>
  <si>
    <t>It came after tired browsing had taken me away from the writing task.</t>
  </si>
  <si>
    <t>Once it appeared while I was checking a useful reference.</t>
  </si>
  <si>
    <t>It made the decision explicit; I could return or knowingly continue.</t>
  </si>
  <si>
    <t>The sound helped me notice the prompt while switching windows.</t>
  </si>
  <si>
    <t>About right, especially because there was only one in a session.</t>
  </si>
  <si>
    <t>Add an easy temporary mute option for meetings.</t>
  </si>
  <si>
    <t>Phase 2, because it helped more than it interrupted.</t>
  </si>
  <si>
    <t>Temporary mute</t>
  </si>
  <si>
    <t>P07</t>
  </si>
  <si>
    <t>More than 8 hours</t>
  </si>
  <si>
    <t>I did not have a meaningful problem using it.</t>
  </si>
  <si>
    <t>Yes. The question was direct.</t>
  </si>
  <si>
    <t>No major change; perhaps show that the response was saved.</t>
  </si>
  <si>
    <t>I went back to the task straight away and stayed there.</t>
  </si>
  <si>
    <t>It arrived during a clear off-task moment and felt well timed.</t>
  </si>
  <si>
    <t>I do not remember a wrong one.</t>
  </si>
  <si>
    <t>It gave me the small interruption I needed to reset my intention.</t>
  </si>
  <si>
    <t>The beep was brief and effective.</t>
  </si>
  <si>
    <t>About right; the low frequency kept it meaningful.</t>
  </si>
  <si>
    <t>No major change beyond keeping the sound short.</t>
  </si>
  <si>
    <t>Phase 2; the check-in was the most useful part of the system for me.</t>
  </si>
  <si>
    <t>Keep brief</t>
  </si>
  <si>
    <t>P08</t>
  </si>
  <si>
    <t>35–44</t>
  </si>
  <si>
    <t>The intended time did not always match when my real task ended.</t>
  </si>
  <si>
    <t>Yes, and I liked that the timer did not decide the answer for me.</t>
  </si>
  <si>
    <t>Make it clearer that intended duration is only an estimate.</t>
  </si>
  <si>
    <t>I checked my task and usually returned, although sometimes the current reading was still relevant.</t>
  </si>
  <si>
    <t>It helped when a broad search had moved too far from the original question.</t>
  </si>
  <si>
    <t>One check-in interrupted related reading, so I continued and marked it as still relevant.</t>
  </si>
  <si>
    <t>It helped me review the detour rather than automatically treating it as wrong.</t>
  </si>
  <si>
    <t>The beep was useful, though I would prefer a slightly softer default.</t>
  </si>
  <si>
    <t>About right; I noticed only a few during the study.</t>
  </si>
  <si>
    <t>Improve timing around rapid tab changes and allow volume control.</t>
  </si>
  <si>
    <t>Phase 2, but I would keep the check-in quiet and infrequent.</t>
  </si>
  <si>
    <t>Timing and volume</t>
  </si>
  <si>
    <t>P09</t>
  </si>
  <si>
    <t>It worked quietly; I only had to remember the session boundary.</t>
  </si>
  <si>
    <t>Yes. It focused on my declared goal.</t>
  </si>
  <si>
    <t>Add a recoverable reminder if the browser closes before reflection.</t>
  </si>
  <si>
    <t>I closed the unrelated pages and resumed my planned work.</t>
  </si>
  <si>
    <t>A conversation had led into unrelated browsing; the check-in arrived at a useful moment.</t>
  </si>
  <si>
    <t>I do not remember an unhelpful one.</t>
  </si>
  <si>
    <t>It helped me act as soon as I recognized the mismatch.</t>
  </si>
  <si>
    <t>The beep made the prompt hard to miss without being alarming.</t>
  </si>
  <si>
    <t>About right; one alert was enough to reset the session.</t>
  </si>
  <si>
    <t>Show the declared task type on the card as a reminder.</t>
  </si>
  <si>
    <t>Phase 2, because it helped me return quickly while leaving the decision with me.</t>
  </si>
  <si>
    <t>Show task context</t>
  </si>
  <si>
    <t>P10</t>
  </si>
  <si>
    <t>2–4 hours</t>
  </si>
  <si>
    <t>I sometimes postponed the last question when I was in a hurry.</t>
  </si>
  <si>
    <t>Yes, it was quick to understand.</t>
  </si>
  <si>
    <t>Let the pending question stay available until the next browser start.</t>
  </si>
  <si>
    <t>I reread my goal and returned after finishing the useful thing I was doing.</t>
  </si>
  <si>
    <t>It was useful when a short break had quietly become a longer browsing detour.</t>
  </si>
  <si>
    <t>One appeared while I was changing between useful task tabs.</t>
  </si>
  <si>
    <t>It slowed me down just enough to choose what to do next.</t>
  </si>
  <si>
    <t>The short sound was helpful, but it should remain optional.</t>
  </si>
  <si>
    <t>About right; repeated beeps would have been annoying.</t>
  </si>
  <si>
    <t>Offer a silent mode for shared rooms.</t>
  </si>
  <si>
    <t>Phase 2; I liked the reflection, provided the frequency stays low.</t>
  </si>
  <si>
    <t>Silent mode</t>
  </si>
  <si>
    <t>P11</t>
  </si>
  <si>
    <t>The task-site setup could be clearer for sites used for several purposes.</t>
  </si>
  <si>
    <t>Yes. It did not assume that a site was always good or bad.</t>
  </si>
  <si>
    <t>Add a short mixed-use-site example.</t>
  </si>
  <si>
    <t>I checked the declared task and went back to the main work tab.</t>
  </si>
  <si>
    <t>It helped when less relevant links had gradually taken over the session.</t>
  </si>
  <si>
    <t>The timing was good overall, although not exact every time.</t>
  </si>
  <si>
    <t>It turned an unnoticed detour into a conscious choice.</t>
  </si>
  <si>
    <t>The hardware cue made the intervention feel immediate.</t>
  </si>
  <si>
    <t>About right; it was present without becoming a routine interruption.</t>
  </si>
  <si>
    <t>Make reconnecting the ESP32 more obvious after sleep.</t>
  </si>
  <si>
    <t>Phase 2, because it made the tool more useful in everyday work.</t>
  </si>
  <si>
    <t>Timing not exact</t>
  </si>
  <si>
    <t>P12</t>
  </si>
  <si>
    <t>No difficulty after the first setup.</t>
  </si>
  <si>
    <t>Yes, it was easy to answer honestly.</t>
  </si>
  <si>
    <t>Keep the process as short as it is now.</t>
  </si>
  <si>
    <t>No</t>
  </si>
  <si>
    <t>I did not remember receiving a check-in, so clearer delivery feedback may be needed.</t>
  </si>
  <si>
    <t>Phase 1 for now, because I cannot judge the Phase 2 check-in without remembering one.</t>
  </si>
  <si>
    <t>No remembered exposure</t>
  </si>
  <si>
    <t>Delivery feedback</t>
  </si>
  <si>
    <t>Participants</t>
  </si>
  <si>
    <t>Remembered check-in</t>
  </si>
  <si>
    <t>Preferred Phase 2</t>
  </si>
  <si>
    <t>Phase 2 preference rate</t>
  </si>
  <si>
    <t>Per-item Likert results</t>
  </si>
  <si>
    <t>Phase</t>
  </si>
  <si>
    <t>Item</t>
  </si>
  <si>
    <t>Statement</t>
  </si>
  <si>
    <t>Valid n</t>
  </si>
  <si>
    <t>Median</t>
  </si>
  <si>
    <t>Q1</t>
  </si>
  <si>
    <t>Q3</t>
  </si>
  <si>
    <t>IQR</t>
  </si>
  <si>
    <t>Favorable n</t>
  </si>
  <si>
    <t>Favorable %</t>
  </si>
  <si>
    <t>N/A or missing</t>
  </si>
  <si>
    <t>Phase 1</t>
  </si>
  <si>
    <t>Phase 2</t>
  </si>
  <si>
    <t>Exposure and preference checks</t>
  </si>
  <si>
    <t>Measure</t>
  </si>
  <si>
    <t>Not sure</t>
  </si>
  <si>
    <t>Remembered at least one check-in</t>
  </si>
  <si>
    <t>Remembered ESP32 beep</t>
  </si>
  <si>
    <t>Illustrative qualitative theme counts</t>
  </si>
  <si>
    <t>Theme family</t>
  </si>
  <si>
    <t>Code</t>
  </si>
  <si>
    <t>Count</t>
  </si>
  <si>
    <t>Interpretation boundary</t>
  </si>
  <si>
    <t>Perceived benefit</t>
  </si>
  <si>
    <t>Participant perception from synthetic interview text; not objective model-performance evidence.</t>
  </si>
  <si>
    <t>Limitation</t>
  </si>
  <si>
    <t>Analysis note for a Journal on Interactive Systems manuscript: report each Likert item separately with n, distribution, median, and IQR; keep not-applicable responses explicit; use de-identified excerpts with a documented coding process. These invented records may be used to test tables and analysis code only. Actual ML performance and causal intervention effects require real model outputs, randomized eligible-session records, and consented participant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</si>
</sst>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0"/>
      <color rgb="FF1F2937"/>
      <name val="Aptos"/>
    </font>
    <font>
      <b/>
      <sz val="9"/>
      <color rgb="FFFFFFFF"/>
      <name val="Aptos"/>
    </font>
    <font>
      <sz val="9"/>
      <color rgb="FF1F2937"/>
      <name val="Aptos"/>
    </font>
    <font>
      <b/>
      <sz val="11"/>
      <color rgb="FF17365D"/>
      <name val="Aptos"/>
    </font>
    <font>
      <b/>
      <sz val="18"/>
      <color rgb="FF2F75B5"/>
      <name val="Aptos Display"/>
    </font>
    <font>
      <b/>
      <sz val="13"/>
      <color rgb="FF17365D"/>
      <name val="Aptos Display"/>
    </font>
    <font>
      <b/>
      <sz val="10"/>
      <color rgb="FF1F2937"/>
      <name val="Aptos"/>
    </font>
  </fonts>
  <fills count="7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5F8FB"/>
      </patternFill>
    </fill>
    <fill>
      <patternFill patternType="solid">
        <fgColor rgb="FFF7FA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F75B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 wrapText="1"/>
    </xf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164" fontId="4" fillId="4" borderId="0" xfId="0" applyNumberFormat="1" applyFont="1" applyFill="1" applyAlignment="1">
      <alignment vertical="top"/>
    </xf>
    <xf numFmtId="164" fontId="4" fillId="4" borderId="0" xfId="0" applyNumberFormat="1" applyFont="1" applyFill="1" applyAlignment="1">
      <alignment vertical="top" wrapText="1"/>
    </xf>
    <xf numFmtId="0" fontId="7" fillId="0" borderId="1" xfId="0" applyFont="1" applyBorder="1"/>
    <xf numFmtId="0" fontId="1" fillId="2" borderId="0" xfId="0" applyFont="1" applyFill="1" applyAlignment="1">
      <alignment wrapText="1"/>
    </xf>
    <xf numFmtId="9" fontId="4" fillId="4" borderId="0" xfId="0" applyNumberFormat="1" applyFont="1" applyFill="1" applyAlignment="1">
      <alignment vertical="top" wrapText="1"/>
    </xf>
    <xf numFmtId="9" fontId="4" fillId="0" borderId="0" xfId="0" applyNumberFormat="1" applyFont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8" fillId="6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/>
    <xf numFmtId="0" fontId="0" fillId="2" borderId="0" xfId="0" applyFill="1"/>
    <xf numFmtId="0" fontId="5" fillId="5" borderId="0" xfId="0" applyFont="1" applyFill="1"/>
    <xf numFmtId="1" fontId="6" fillId="0" borderId="0" xfId="0" applyNumberFormat="1" applyFont="1"/>
    <xf numFmtId="0" fontId="0" fillId="0" borderId="0" xfId="0" applyAlignment="1">
      <alignment vertical="top" wrapText="1"/>
    </xf>
    <xf numFmtId="9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showGridLines="0" tabSelected="1" workbookViewId="0">
      <pane ySplit="1" topLeftCell="A38" activePane="bottomLeft" state="frozen"/>
      <selection pane="bottomLeft" activeCell="C5" sqref="C5"/>
    </sheetView>
  </sheetViews>
  <sheetFormatPr defaultRowHeight="15" x14ac:dyDescent="0.25"/>
  <cols>
    <col min="1" max="1" width="18" customWidth="1"/>
    <col min="2" max="2" width="11" customWidth="1"/>
    <col min="3" max="3" width="15" customWidth="1"/>
    <col min="4" max="4" width="72" customWidth="1"/>
    <col min="5" max="5" width="35" customWidth="1"/>
    <col min="6" max="6" width="32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4.1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4.1" customHeight="1" x14ac:dyDescent="0.25">
      <c r="A3" s="3" t="s">
        <v>6</v>
      </c>
      <c r="B3" s="3" t="s">
        <v>12</v>
      </c>
      <c r="C3" s="3" t="s">
        <v>8</v>
      </c>
      <c r="D3" s="3" t="s">
        <v>13</v>
      </c>
      <c r="E3" s="3" t="s">
        <v>10</v>
      </c>
      <c r="F3" s="3" t="s">
        <v>11</v>
      </c>
    </row>
    <row r="4" spans="1:6" ht="44.1" customHeight="1" x14ac:dyDescent="0.25">
      <c r="A4" s="2" t="s">
        <v>6</v>
      </c>
      <c r="B4" s="2" t="s">
        <v>14</v>
      </c>
      <c r="C4" s="2" t="s">
        <v>8</v>
      </c>
      <c r="D4" s="2" t="s">
        <v>15</v>
      </c>
      <c r="E4" s="2" t="s">
        <v>10</v>
      </c>
      <c r="F4" s="2" t="s">
        <v>11</v>
      </c>
    </row>
    <row r="5" spans="1:6" ht="44.1" customHeight="1" x14ac:dyDescent="0.25">
      <c r="A5" s="3" t="s">
        <v>6</v>
      </c>
      <c r="B5" s="3" t="s">
        <v>16</v>
      </c>
      <c r="C5" s="3" t="s">
        <v>8</v>
      </c>
      <c r="D5" s="3" t="s">
        <v>17</v>
      </c>
      <c r="E5" s="3" t="s">
        <v>10</v>
      </c>
      <c r="F5" s="3" t="s">
        <v>11</v>
      </c>
    </row>
    <row r="6" spans="1:6" ht="44.1" customHeight="1" x14ac:dyDescent="0.25">
      <c r="A6" s="2" t="s">
        <v>6</v>
      </c>
      <c r="B6" s="2" t="s">
        <v>18</v>
      </c>
      <c r="C6" s="2" t="s">
        <v>8</v>
      </c>
      <c r="D6" s="2" t="s">
        <v>19</v>
      </c>
      <c r="E6" s="2" t="s">
        <v>10</v>
      </c>
      <c r="F6" s="2" t="s">
        <v>11</v>
      </c>
    </row>
    <row r="7" spans="1:6" ht="44.1" customHeight="1" x14ac:dyDescent="0.25">
      <c r="A7" s="3" t="s">
        <v>6</v>
      </c>
      <c r="B7" s="3" t="s">
        <v>20</v>
      </c>
      <c r="C7" s="3" t="s">
        <v>8</v>
      </c>
      <c r="D7" s="3" t="s">
        <v>21</v>
      </c>
      <c r="E7" s="3" t="s">
        <v>10</v>
      </c>
      <c r="F7" s="3" t="s">
        <v>11</v>
      </c>
    </row>
    <row r="8" spans="1:6" ht="44.1" customHeight="1" x14ac:dyDescent="0.25">
      <c r="A8" s="2" t="s">
        <v>6</v>
      </c>
      <c r="B8" s="2" t="s">
        <v>22</v>
      </c>
      <c r="C8" s="2" t="s">
        <v>8</v>
      </c>
      <c r="D8" s="2" t="s">
        <v>23</v>
      </c>
      <c r="E8" s="2" t="s">
        <v>10</v>
      </c>
      <c r="F8" s="2" t="s">
        <v>11</v>
      </c>
    </row>
    <row r="9" spans="1:6" ht="44.1" customHeight="1" x14ac:dyDescent="0.25">
      <c r="A9" s="3" t="s">
        <v>24</v>
      </c>
      <c r="B9" s="3" t="s">
        <v>25</v>
      </c>
      <c r="C9" s="3" t="s">
        <v>8</v>
      </c>
      <c r="D9" s="3" t="s">
        <v>26</v>
      </c>
      <c r="E9" s="3" t="s">
        <v>10</v>
      </c>
      <c r="F9" s="3" t="s">
        <v>27</v>
      </c>
    </row>
    <row r="10" spans="1:6" ht="44.1" customHeight="1" x14ac:dyDescent="0.25">
      <c r="A10" s="2" t="s">
        <v>24</v>
      </c>
      <c r="B10" s="2" t="s">
        <v>28</v>
      </c>
      <c r="C10" s="2" t="s">
        <v>8</v>
      </c>
      <c r="D10" s="2" t="s">
        <v>29</v>
      </c>
      <c r="E10" s="2" t="s">
        <v>10</v>
      </c>
      <c r="F10" s="2" t="s">
        <v>27</v>
      </c>
    </row>
    <row r="11" spans="1:6" ht="44.1" customHeight="1" x14ac:dyDescent="0.25">
      <c r="A11" s="3" t="s">
        <v>24</v>
      </c>
      <c r="B11" s="3" t="s">
        <v>30</v>
      </c>
      <c r="C11" s="3" t="s">
        <v>8</v>
      </c>
      <c r="D11" s="3" t="s">
        <v>31</v>
      </c>
      <c r="E11" s="3" t="s">
        <v>10</v>
      </c>
      <c r="F11" s="3" t="s">
        <v>27</v>
      </c>
    </row>
    <row r="12" spans="1:6" ht="44.1" customHeight="1" x14ac:dyDescent="0.25">
      <c r="A12" s="2" t="s">
        <v>24</v>
      </c>
      <c r="B12" s="2" t="s">
        <v>32</v>
      </c>
      <c r="C12" s="2" t="s">
        <v>8</v>
      </c>
      <c r="D12" s="2" t="s">
        <v>33</v>
      </c>
      <c r="E12" s="2" t="s">
        <v>10</v>
      </c>
      <c r="F12" s="2" t="s">
        <v>27</v>
      </c>
    </row>
    <row r="13" spans="1:6" ht="44.1" customHeight="1" x14ac:dyDescent="0.25">
      <c r="A13" s="3" t="s">
        <v>34</v>
      </c>
      <c r="B13" s="3" t="s">
        <v>35</v>
      </c>
      <c r="C13" s="3" t="s">
        <v>36</v>
      </c>
      <c r="D13" s="3" t="s">
        <v>37</v>
      </c>
      <c r="E13" s="3" t="s">
        <v>38</v>
      </c>
      <c r="F13" s="3" t="s">
        <v>39</v>
      </c>
    </row>
    <row r="14" spans="1:6" ht="44.1" customHeight="1" x14ac:dyDescent="0.25">
      <c r="A14" s="2" t="s">
        <v>34</v>
      </c>
      <c r="B14" s="2" t="s">
        <v>40</v>
      </c>
      <c r="C14" s="2" t="s">
        <v>36</v>
      </c>
      <c r="D14" s="2" t="s">
        <v>41</v>
      </c>
      <c r="E14" s="2" t="s">
        <v>38</v>
      </c>
      <c r="F14" s="2" t="s">
        <v>39</v>
      </c>
    </row>
    <row r="15" spans="1:6" ht="44.1" customHeight="1" x14ac:dyDescent="0.25">
      <c r="A15" s="3" t="s">
        <v>34</v>
      </c>
      <c r="B15" s="3" t="s">
        <v>42</v>
      </c>
      <c r="C15" s="3" t="s">
        <v>36</v>
      </c>
      <c r="D15" s="3" t="s">
        <v>43</v>
      </c>
      <c r="E15" s="3" t="s">
        <v>38</v>
      </c>
      <c r="F15" s="3" t="s">
        <v>39</v>
      </c>
    </row>
    <row r="16" spans="1:6" ht="44.1" customHeight="1" x14ac:dyDescent="0.25">
      <c r="A16" s="2" t="s">
        <v>34</v>
      </c>
      <c r="B16" s="2" t="s">
        <v>44</v>
      </c>
      <c r="C16" s="2" t="s">
        <v>36</v>
      </c>
      <c r="D16" s="2" t="s">
        <v>45</v>
      </c>
      <c r="E16" s="2" t="s">
        <v>38</v>
      </c>
      <c r="F16" s="2" t="s">
        <v>39</v>
      </c>
    </row>
    <row r="17" spans="1:6" ht="44.1" customHeight="1" x14ac:dyDescent="0.25">
      <c r="A17" s="3" t="s">
        <v>34</v>
      </c>
      <c r="B17" s="3" t="s">
        <v>46</v>
      </c>
      <c r="C17" s="3" t="s">
        <v>36</v>
      </c>
      <c r="D17" s="3" t="s">
        <v>47</v>
      </c>
      <c r="E17" s="3" t="s">
        <v>38</v>
      </c>
      <c r="F17" s="3" t="s">
        <v>48</v>
      </c>
    </row>
    <row r="18" spans="1:6" ht="44.1" customHeight="1" x14ac:dyDescent="0.25">
      <c r="A18" s="2" t="s">
        <v>49</v>
      </c>
      <c r="B18" s="2" t="s">
        <v>50</v>
      </c>
      <c r="C18" s="2" t="s">
        <v>51</v>
      </c>
      <c r="D18" s="2" t="s">
        <v>52</v>
      </c>
      <c r="E18" s="2" t="s">
        <v>53</v>
      </c>
      <c r="F18" s="2" t="s">
        <v>39</v>
      </c>
    </row>
    <row r="19" spans="1:6" ht="44.1" customHeight="1" x14ac:dyDescent="0.25">
      <c r="A19" s="3" t="s">
        <v>49</v>
      </c>
      <c r="B19" s="3" t="s">
        <v>54</v>
      </c>
      <c r="C19" s="3" t="s">
        <v>51</v>
      </c>
      <c r="D19" s="3" t="s">
        <v>55</v>
      </c>
      <c r="E19" s="3" t="s">
        <v>53</v>
      </c>
      <c r="F19" s="3" t="s">
        <v>39</v>
      </c>
    </row>
    <row r="20" spans="1:6" ht="44.1" customHeight="1" x14ac:dyDescent="0.25">
      <c r="A20" s="2" t="s">
        <v>49</v>
      </c>
      <c r="B20" s="2" t="s">
        <v>56</v>
      </c>
      <c r="C20" s="2" t="s">
        <v>51</v>
      </c>
      <c r="D20" s="2" t="s">
        <v>57</v>
      </c>
      <c r="E20" s="2" t="s">
        <v>53</v>
      </c>
      <c r="F20" s="2" t="s">
        <v>39</v>
      </c>
    </row>
    <row r="21" spans="1:6" ht="44.1" customHeight="1" x14ac:dyDescent="0.25">
      <c r="A21" s="3" t="s">
        <v>58</v>
      </c>
      <c r="B21" s="3" t="s">
        <v>59</v>
      </c>
      <c r="C21" s="3" t="s">
        <v>60</v>
      </c>
      <c r="D21" s="3" t="s">
        <v>61</v>
      </c>
      <c r="E21" s="3" t="s">
        <v>62</v>
      </c>
      <c r="F21" s="3" t="s">
        <v>39</v>
      </c>
    </row>
    <row r="22" spans="1:6" ht="44.1" customHeight="1" x14ac:dyDescent="0.25">
      <c r="A22" s="2" t="s">
        <v>58</v>
      </c>
      <c r="B22" s="2" t="s">
        <v>63</v>
      </c>
      <c r="C22" s="2" t="s">
        <v>60</v>
      </c>
      <c r="D22" s="2" t="s">
        <v>64</v>
      </c>
      <c r="E22" s="2" t="s">
        <v>62</v>
      </c>
      <c r="F22" s="2" t="s">
        <v>39</v>
      </c>
    </row>
    <row r="23" spans="1:6" ht="44.1" customHeight="1" x14ac:dyDescent="0.25">
      <c r="A23" s="3" t="s">
        <v>65</v>
      </c>
      <c r="B23" s="3" t="s">
        <v>66</v>
      </c>
      <c r="C23" s="3" t="s">
        <v>36</v>
      </c>
      <c r="D23" s="3" t="s">
        <v>67</v>
      </c>
      <c r="E23" s="3" t="s">
        <v>38</v>
      </c>
      <c r="F23" s="3" t="s">
        <v>39</v>
      </c>
    </row>
    <row r="24" spans="1:6" ht="44.1" customHeight="1" x14ac:dyDescent="0.25">
      <c r="A24" s="2" t="s">
        <v>65</v>
      </c>
      <c r="B24" s="2" t="s">
        <v>68</v>
      </c>
      <c r="C24" s="2" t="s">
        <v>36</v>
      </c>
      <c r="D24" s="2" t="s">
        <v>45</v>
      </c>
      <c r="E24" s="2" t="s">
        <v>38</v>
      </c>
      <c r="F24" s="2" t="s">
        <v>39</v>
      </c>
    </row>
    <row r="25" spans="1:6" ht="44.1" customHeight="1" x14ac:dyDescent="0.25">
      <c r="A25" s="3" t="s">
        <v>65</v>
      </c>
      <c r="B25" s="3" t="s">
        <v>69</v>
      </c>
      <c r="C25" s="3" t="s">
        <v>36</v>
      </c>
      <c r="D25" s="3" t="s">
        <v>70</v>
      </c>
      <c r="E25" s="3" t="s">
        <v>38</v>
      </c>
      <c r="F25" s="3" t="s">
        <v>48</v>
      </c>
    </row>
    <row r="26" spans="1:6" ht="44.1" customHeight="1" x14ac:dyDescent="0.25">
      <c r="A26" s="2" t="s">
        <v>65</v>
      </c>
      <c r="B26" s="2" t="s">
        <v>71</v>
      </c>
      <c r="C26" s="2" t="s">
        <v>36</v>
      </c>
      <c r="D26" s="2" t="s">
        <v>72</v>
      </c>
      <c r="E26" s="2" t="s">
        <v>38</v>
      </c>
      <c r="F26" s="2" t="s">
        <v>73</v>
      </c>
    </row>
    <row r="27" spans="1:6" ht="44.1" customHeight="1" x14ac:dyDescent="0.25">
      <c r="A27" s="3" t="s">
        <v>65</v>
      </c>
      <c r="B27" s="3" t="s">
        <v>74</v>
      </c>
      <c r="C27" s="3" t="s">
        <v>36</v>
      </c>
      <c r="D27" s="3" t="s">
        <v>75</v>
      </c>
      <c r="E27" s="3" t="s">
        <v>38</v>
      </c>
      <c r="F27" s="3" t="s">
        <v>73</v>
      </c>
    </row>
    <row r="28" spans="1:6" ht="44.1" customHeight="1" x14ac:dyDescent="0.25">
      <c r="A28" s="2" t="s">
        <v>65</v>
      </c>
      <c r="B28" s="2" t="s">
        <v>76</v>
      </c>
      <c r="C28" s="2" t="s">
        <v>36</v>
      </c>
      <c r="D28" s="2" t="s">
        <v>77</v>
      </c>
      <c r="E28" s="2" t="s">
        <v>38</v>
      </c>
      <c r="F28" s="2" t="s">
        <v>73</v>
      </c>
    </row>
    <row r="29" spans="1:6" ht="44.1" customHeight="1" x14ac:dyDescent="0.25">
      <c r="A29" s="3" t="s">
        <v>65</v>
      </c>
      <c r="B29" s="3" t="s">
        <v>78</v>
      </c>
      <c r="C29" s="3" t="s">
        <v>36</v>
      </c>
      <c r="D29" s="3" t="s">
        <v>79</v>
      </c>
      <c r="E29" s="3" t="s">
        <v>38</v>
      </c>
      <c r="F29" s="3" t="s">
        <v>73</v>
      </c>
    </row>
    <row r="30" spans="1:6" ht="44.1" customHeight="1" x14ac:dyDescent="0.25">
      <c r="A30" s="2" t="s">
        <v>65</v>
      </c>
      <c r="B30" s="2" t="s">
        <v>80</v>
      </c>
      <c r="C30" s="2" t="s">
        <v>36</v>
      </c>
      <c r="D30" s="2" t="s">
        <v>81</v>
      </c>
      <c r="E30" s="2" t="s">
        <v>38</v>
      </c>
      <c r="F30" s="2" t="s">
        <v>82</v>
      </c>
    </row>
    <row r="31" spans="1:6" ht="44.1" customHeight="1" x14ac:dyDescent="0.25">
      <c r="A31" s="3" t="s">
        <v>65</v>
      </c>
      <c r="B31" s="3" t="s">
        <v>83</v>
      </c>
      <c r="C31" s="3" t="s">
        <v>36</v>
      </c>
      <c r="D31" s="3" t="s">
        <v>84</v>
      </c>
      <c r="E31" s="3" t="s">
        <v>38</v>
      </c>
      <c r="F31" s="3" t="s">
        <v>82</v>
      </c>
    </row>
    <row r="32" spans="1:6" ht="44.1" customHeight="1" x14ac:dyDescent="0.25">
      <c r="A32" s="2" t="s">
        <v>65</v>
      </c>
      <c r="B32" s="2" t="s">
        <v>85</v>
      </c>
      <c r="C32" s="2" t="s">
        <v>36</v>
      </c>
      <c r="D32" s="2" t="s">
        <v>86</v>
      </c>
      <c r="E32" s="2" t="s">
        <v>38</v>
      </c>
      <c r="F32" s="2" t="s">
        <v>39</v>
      </c>
    </row>
    <row r="33" spans="1:6" ht="44.1" customHeight="1" x14ac:dyDescent="0.25">
      <c r="A33" s="3" t="s">
        <v>87</v>
      </c>
      <c r="B33" s="3" t="s">
        <v>88</v>
      </c>
      <c r="C33" s="3" t="s">
        <v>51</v>
      </c>
      <c r="D33" s="3" t="s">
        <v>89</v>
      </c>
      <c r="E33" s="3" t="s">
        <v>53</v>
      </c>
      <c r="F33" s="3" t="s">
        <v>73</v>
      </c>
    </row>
    <row r="34" spans="1:6" ht="44.1" customHeight="1" x14ac:dyDescent="0.25">
      <c r="A34" s="2" t="s">
        <v>87</v>
      </c>
      <c r="B34" s="2" t="s">
        <v>90</v>
      </c>
      <c r="C34" s="2" t="s">
        <v>51</v>
      </c>
      <c r="D34" s="2" t="s">
        <v>91</v>
      </c>
      <c r="E34" s="2" t="s">
        <v>53</v>
      </c>
      <c r="F34" s="2" t="s">
        <v>73</v>
      </c>
    </row>
    <row r="35" spans="1:6" ht="44.1" customHeight="1" x14ac:dyDescent="0.25">
      <c r="A35" s="3" t="s">
        <v>87</v>
      </c>
      <c r="B35" s="3" t="s">
        <v>92</v>
      </c>
      <c r="C35" s="3" t="s">
        <v>51</v>
      </c>
      <c r="D35" s="3" t="s">
        <v>93</v>
      </c>
      <c r="E35" s="3" t="s">
        <v>53</v>
      </c>
      <c r="F35" s="3" t="s">
        <v>73</v>
      </c>
    </row>
    <row r="36" spans="1:6" ht="44.1" customHeight="1" x14ac:dyDescent="0.25">
      <c r="A36" s="2" t="s">
        <v>87</v>
      </c>
      <c r="B36" s="2" t="s">
        <v>94</v>
      </c>
      <c r="C36" s="2" t="s">
        <v>51</v>
      </c>
      <c r="D36" s="2" t="s">
        <v>95</v>
      </c>
      <c r="E36" s="2" t="s">
        <v>53</v>
      </c>
      <c r="F36" s="2" t="s">
        <v>73</v>
      </c>
    </row>
    <row r="37" spans="1:6" ht="44.1" customHeight="1" x14ac:dyDescent="0.25">
      <c r="A37" s="3" t="s">
        <v>87</v>
      </c>
      <c r="B37" s="3" t="s">
        <v>96</v>
      </c>
      <c r="C37" s="3" t="s">
        <v>51</v>
      </c>
      <c r="D37" s="3" t="s">
        <v>97</v>
      </c>
      <c r="E37" s="3" t="s">
        <v>53</v>
      </c>
      <c r="F37" s="3" t="s">
        <v>73</v>
      </c>
    </row>
    <row r="38" spans="1:6" ht="44.1" customHeight="1" x14ac:dyDescent="0.25">
      <c r="A38" s="2" t="s">
        <v>87</v>
      </c>
      <c r="B38" s="2" t="s">
        <v>98</v>
      </c>
      <c r="C38" s="2" t="s">
        <v>51</v>
      </c>
      <c r="D38" s="2" t="s">
        <v>99</v>
      </c>
      <c r="E38" s="2" t="s">
        <v>53</v>
      </c>
      <c r="F38" s="2" t="s">
        <v>73</v>
      </c>
    </row>
    <row r="39" spans="1:6" ht="44.1" customHeight="1" x14ac:dyDescent="0.25">
      <c r="A39" s="3" t="s">
        <v>87</v>
      </c>
      <c r="B39" s="3" t="s">
        <v>100</v>
      </c>
      <c r="C39" s="3" t="s">
        <v>51</v>
      </c>
      <c r="D39" s="3" t="s">
        <v>101</v>
      </c>
      <c r="E39" s="3" t="s">
        <v>53</v>
      </c>
      <c r="F39" s="3" t="s">
        <v>39</v>
      </c>
    </row>
    <row r="40" spans="1:6" ht="44.1" customHeight="1" x14ac:dyDescent="0.25">
      <c r="A40" s="2" t="s">
        <v>87</v>
      </c>
      <c r="B40" s="2" t="s">
        <v>102</v>
      </c>
      <c r="C40" s="2" t="s">
        <v>51</v>
      </c>
      <c r="D40" s="2" t="s">
        <v>103</v>
      </c>
      <c r="E40" s="2" t="s">
        <v>53</v>
      </c>
      <c r="F40" s="2" t="s">
        <v>39</v>
      </c>
    </row>
    <row r="41" spans="1:6" ht="44.1" customHeight="1" x14ac:dyDescent="0.25">
      <c r="A41" s="3" t="s">
        <v>104</v>
      </c>
      <c r="B41" s="3" t="s">
        <v>105</v>
      </c>
      <c r="C41" s="3" t="s">
        <v>60</v>
      </c>
      <c r="D41" s="3" t="s">
        <v>106</v>
      </c>
      <c r="E41" s="3" t="s">
        <v>107</v>
      </c>
      <c r="F41" s="3" t="s">
        <v>108</v>
      </c>
    </row>
    <row r="42" spans="1:6" ht="44.1" customHeight="1" x14ac:dyDescent="0.25">
      <c r="A42" s="2" t="s">
        <v>104</v>
      </c>
      <c r="B42" s="2" t="s">
        <v>109</v>
      </c>
      <c r="C42" s="2" t="s">
        <v>60</v>
      </c>
      <c r="D42" s="2" t="s">
        <v>110</v>
      </c>
      <c r="E42" s="2" t="s">
        <v>107</v>
      </c>
      <c r="F42" s="2" t="s">
        <v>111</v>
      </c>
    </row>
  </sheetData>
  <autoFilter ref="A1:F42" xr:uid="{00000000-0009-0000-0000-000000000000}"/>
  <pageMargins left="0.25" right="0.2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1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14" customWidth="1"/>
    <col min="2" max="2" width="12" customWidth="1"/>
    <col min="3" max="4" width="20" customWidth="1"/>
    <col min="5" max="5" width="14" customWidth="1"/>
    <col min="6" max="17" width="12" customWidth="1"/>
    <col min="18" max="18" width="14" customWidth="1"/>
    <col min="19" max="24" width="12" customWidth="1"/>
    <col min="25" max="27" width="52" customWidth="1"/>
    <col min="28" max="28" width="14" customWidth="1"/>
    <col min="29" max="41" width="12" customWidth="1"/>
    <col min="42" max="49" width="52" customWidth="1"/>
    <col min="50" max="52" width="24" customWidth="1"/>
  </cols>
  <sheetData>
    <row r="1" spans="1:52" ht="45" customHeight="1" x14ac:dyDescent="0.25">
      <c r="A1" s="4" t="s">
        <v>112</v>
      </c>
      <c r="B1" s="4" t="s">
        <v>113</v>
      </c>
      <c r="C1" s="4" t="s">
        <v>114</v>
      </c>
      <c r="D1" s="4" t="s">
        <v>115</v>
      </c>
      <c r="E1" s="4" t="s">
        <v>116</v>
      </c>
      <c r="F1" s="4" t="s">
        <v>7</v>
      </c>
      <c r="G1" s="4" t="s">
        <v>12</v>
      </c>
      <c r="H1" s="4" t="s">
        <v>14</v>
      </c>
      <c r="I1" s="4" t="s">
        <v>16</v>
      </c>
      <c r="J1" s="4" t="s">
        <v>18</v>
      </c>
      <c r="K1" s="4" t="s">
        <v>20</v>
      </c>
      <c r="L1" s="4" t="s">
        <v>22</v>
      </c>
      <c r="M1" s="4" t="s">
        <v>25</v>
      </c>
      <c r="N1" s="4" t="s">
        <v>28</v>
      </c>
      <c r="O1" s="4" t="s">
        <v>30</v>
      </c>
      <c r="P1" s="4" t="s">
        <v>32</v>
      </c>
      <c r="Q1" s="4" t="s">
        <v>117</v>
      </c>
      <c r="R1" s="4" t="s">
        <v>118</v>
      </c>
      <c r="S1" s="4" t="s">
        <v>105</v>
      </c>
      <c r="T1" s="4" t="s">
        <v>35</v>
      </c>
      <c r="U1" s="4" t="s">
        <v>40</v>
      </c>
      <c r="V1" s="4" t="s">
        <v>42</v>
      </c>
      <c r="W1" s="4" t="s">
        <v>44</v>
      </c>
      <c r="X1" s="4" t="s">
        <v>46</v>
      </c>
      <c r="Y1" s="4" t="s">
        <v>50</v>
      </c>
      <c r="Z1" s="4" t="s">
        <v>54</v>
      </c>
      <c r="AA1" s="4" t="s">
        <v>56</v>
      </c>
      <c r="AB1" s="4" t="s">
        <v>119</v>
      </c>
      <c r="AC1" s="4" t="s">
        <v>109</v>
      </c>
      <c r="AD1" s="4" t="s">
        <v>59</v>
      </c>
      <c r="AE1" s="4" t="s">
        <v>63</v>
      </c>
      <c r="AF1" s="4" t="s">
        <v>66</v>
      </c>
      <c r="AG1" s="4" t="s">
        <v>68</v>
      </c>
      <c r="AH1" s="4" t="s">
        <v>69</v>
      </c>
      <c r="AI1" s="4" t="s">
        <v>71</v>
      </c>
      <c r="AJ1" s="4" t="s">
        <v>74</v>
      </c>
      <c r="AK1" s="4" t="s">
        <v>76</v>
      </c>
      <c r="AL1" s="4" t="s">
        <v>78</v>
      </c>
      <c r="AM1" s="4" t="s">
        <v>80</v>
      </c>
      <c r="AN1" s="4" t="s">
        <v>83</v>
      </c>
      <c r="AO1" s="4" t="s">
        <v>85</v>
      </c>
      <c r="AP1" s="4" t="s">
        <v>88</v>
      </c>
      <c r="AQ1" s="4" t="s">
        <v>90</v>
      </c>
      <c r="AR1" s="4" t="s">
        <v>92</v>
      </c>
      <c r="AS1" s="4" t="s">
        <v>94</v>
      </c>
      <c r="AT1" s="4" t="s">
        <v>96</v>
      </c>
      <c r="AU1" s="4" t="s">
        <v>98</v>
      </c>
      <c r="AV1" s="4" t="s">
        <v>100</v>
      </c>
      <c r="AW1" s="4" t="s">
        <v>102</v>
      </c>
      <c r="AX1" s="4" t="s">
        <v>120</v>
      </c>
      <c r="AY1" s="4" t="s">
        <v>121</v>
      </c>
      <c r="AZ1" s="4" t="s">
        <v>122</v>
      </c>
    </row>
    <row r="2" spans="1:52" ht="72" customHeight="1" x14ac:dyDescent="0.25">
      <c r="A2" s="5" t="s">
        <v>123</v>
      </c>
      <c r="B2" s="5" t="s">
        <v>125</v>
      </c>
      <c r="C2" s="6" t="s">
        <v>126</v>
      </c>
      <c r="D2" s="6" t="s">
        <v>127</v>
      </c>
      <c r="E2" s="7">
        <v>46235</v>
      </c>
      <c r="F2" s="5" t="s">
        <v>124</v>
      </c>
      <c r="G2" s="5" t="s">
        <v>124</v>
      </c>
      <c r="H2" s="5" t="s">
        <v>124</v>
      </c>
      <c r="I2" s="5" t="s">
        <v>124</v>
      </c>
      <c r="J2" s="5" t="s">
        <v>124</v>
      </c>
      <c r="K2" s="5" t="s">
        <v>124</v>
      </c>
      <c r="L2" s="5" t="s">
        <v>124</v>
      </c>
      <c r="M2" s="5" t="s">
        <v>124</v>
      </c>
      <c r="N2" s="5" t="s">
        <v>124</v>
      </c>
      <c r="O2" s="5" t="s">
        <v>124</v>
      </c>
      <c r="P2" s="5" t="s">
        <v>124</v>
      </c>
      <c r="Q2" s="5" t="s">
        <v>128</v>
      </c>
      <c r="R2" s="7">
        <v>46249</v>
      </c>
      <c r="S2" s="5" t="s">
        <v>129</v>
      </c>
      <c r="T2" s="5">
        <v>5</v>
      </c>
      <c r="U2" s="5">
        <v>4</v>
      </c>
      <c r="V2" s="5">
        <v>5</v>
      </c>
      <c r="W2" s="5">
        <v>5</v>
      </c>
      <c r="X2" s="5">
        <v>1</v>
      </c>
      <c r="Y2" s="6" t="s">
        <v>130</v>
      </c>
      <c r="Z2" s="6" t="s">
        <v>131</v>
      </c>
      <c r="AA2" s="6" t="s">
        <v>132</v>
      </c>
      <c r="AB2" s="8">
        <v>46260</v>
      </c>
      <c r="AC2" s="6" t="s">
        <v>129</v>
      </c>
      <c r="AD2" s="6" t="s">
        <v>124</v>
      </c>
      <c r="AE2" s="6" t="s">
        <v>124</v>
      </c>
      <c r="AF2" s="6">
        <v>5</v>
      </c>
      <c r="AG2" s="6">
        <v>5</v>
      </c>
      <c r="AH2" s="6">
        <v>1</v>
      </c>
      <c r="AI2" s="6">
        <v>5</v>
      </c>
      <c r="AJ2" s="6">
        <v>5</v>
      </c>
      <c r="AK2" s="6">
        <v>5</v>
      </c>
      <c r="AL2" s="6">
        <v>5</v>
      </c>
      <c r="AM2" s="6">
        <v>1</v>
      </c>
      <c r="AN2" s="6">
        <v>1</v>
      </c>
      <c r="AO2" s="6">
        <v>5</v>
      </c>
      <c r="AP2" s="6" t="s">
        <v>133</v>
      </c>
      <c r="AQ2" s="6" t="s">
        <v>134</v>
      </c>
      <c r="AR2" s="6" t="s">
        <v>135</v>
      </c>
      <c r="AS2" s="6" t="s">
        <v>136</v>
      </c>
      <c r="AT2" s="6" t="s">
        <v>137</v>
      </c>
      <c r="AU2" s="6" t="s">
        <v>138</v>
      </c>
      <c r="AV2" s="6" t="s">
        <v>139</v>
      </c>
      <c r="AW2" s="6" t="s">
        <v>140</v>
      </c>
      <c r="AX2" s="6" t="s">
        <v>141</v>
      </c>
      <c r="AY2" s="6" t="s">
        <v>142</v>
      </c>
      <c r="AZ2" s="6" t="s">
        <v>143</v>
      </c>
    </row>
    <row r="3" spans="1:52" ht="72" customHeight="1" x14ac:dyDescent="0.25">
      <c r="A3" s="9" t="s">
        <v>144</v>
      </c>
      <c r="B3" s="9" t="s">
        <v>145</v>
      </c>
      <c r="C3" s="10" t="s">
        <v>146</v>
      </c>
      <c r="D3" s="10" t="s">
        <v>147</v>
      </c>
      <c r="E3" s="11">
        <v>46236</v>
      </c>
      <c r="F3" s="9" t="s">
        <v>124</v>
      </c>
      <c r="G3" s="9" t="s">
        <v>124</v>
      </c>
      <c r="H3" s="9" t="s">
        <v>124</v>
      </c>
      <c r="I3" s="9" t="s">
        <v>124</v>
      </c>
      <c r="J3" s="9" t="s">
        <v>124</v>
      </c>
      <c r="K3" s="9" t="s">
        <v>124</v>
      </c>
      <c r="L3" s="9" t="s">
        <v>124</v>
      </c>
      <c r="M3" s="9" t="s">
        <v>124</v>
      </c>
      <c r="N3" s="9" t="s">
        <v>124</v>
      </c>
      <c r="O3" s="9" t="s">
        <v>124</v>
      </c>
      <c r="P3" s="9" t="s">
        <v>124</v>
      </c>
      <c r="Q3" s="9" t="s">
        <v>128</v>
      </c>
      <c r="R3" s="11">
        <v>46250</v>
      </c>
      <c r="S3" s="9" t="s">
        <v>129</v>
      </c>
      <c r="T3" s="9">
        <v>4</v>
      </c>
      <c r="U3" s="9">
        <v>5</v>
      </c>
      <c r="V3" s="9">
        <v>5</v>
      </c>
      <c r="W3" s="9">
        <v>5</v>
      </c>
      <c r="X3" s="9">
        <v>2</v>
      </c>
      <c r="Y3" s="10" t="s">
        <v>148</v>
      </c>
      <c r="Z3" s="10" t="s">
        <v>149</v>
      </c>
      <c r="AA3" s="10" t="s">
        <v>150</v>
      </c>
      <c r="AB3" s="12">
        <v>46261</v>
      </c>
      <c r="AC3" s="10" t="s">
        <v>129</v>
      </c>
      <c r="AD3" s="10" t="s">
        <v>124</v>
      </c>
      <c r="AE3" s="10" t="s">
        <v>124</v>
      </c>
      <c r="AF3" s="10">
        <v>4</v>
      </c>
      <c r="AG3" s="10">
        <v>5</v>
      </c>
      <c r="AH3" s="10">
        <v>2</v>
      </c>
      <c r="AI3" s="10">
        <v>4</v>
      </c>
      <c r="AJ3" s="10">
        <v>5</v>
      </c>
      <c r="AK3" s="10">
        <v>5</v>
      </c>
      <c r="AL3" s="10">
        <v>4</v>
      </c>
      <c r="AM3" s="10">
        <v>2</v>
      </c>
      <c r="AN3" s="10">
        <v>1</v>
      </c>
      <c r="AO3" s="10">
        <v>5</v>
      </c>
      <c r="AP3" s="10" t="s">
        <v>151</v>
      </c>
      <c r="AQ3" s="10" t="s">
        <v>152</v>
      </c>
      <c r="AR3" s="10" t="s">
        <v>153</v>
      </c>
      <c r="AS3" s="10" t="s">
        <v>154</v>
      </c>
      <c r="AT3" s="10" t="s">
        <v>155</v>
      </c>
      <c r="AU3" s="10" t="s">
        <v>156</v>
      </c>
      <c r="AV3" s="10" t="s">
        <v>157</v>
      </c>
      <c r="AW3" s="10" t="s">
        <v>158</v>
      </c>
      <c r="AX3" s="10" t="s">
        <v>141</v>
      </c>
      <c r="AY3" s="10" t="s">
        <v>159</v>
      </c>
      <c r="AZ3" s="10" t="s">
        <v>160</v>
      </c>
    </row>
    <row r="4" spans="1:52" ht="72" customHeight="1" x14ac:dyDescent="0.25">
      <c r="A4" s="5" t="s">
        <v>161</v>
      </c>
      <c r="B4" s="5" t="s">
        <v>125</v>
      </c>
      <c r="C4" s="6" t="s">
        <v>126</v>
      </c>
      <c r="D4" s="6" t="s">
        <v>147</v>
      </c>
      <c r="E4" s="7">
        <v>46237</v>
      </c>
      <c r="F4" s="5" t="s">
        <v>124</v>
      </c>
      <c r="G4" s="5" t="s">
        <v>124</v>
      </c>
      <c r="H4" s="5" t="s">
        <v>124</v>
      </c>
      <c r="I4" s="5" t="s">
        <v>124</v>
      </c>
      <c r="J4" s="5" t="s">
        <v>124</v>
      </c>
      <c r="K4" s="5" t="s">
        <v>124</v>
      </c>
      <c r="L4" s="5" t="s">
        <v>124</v>
      </c>
      <c r="M4" s="5" t="s">
        <v>124</v>
      </c>
      <c r="N4" s="5" t="s">
        <v>124</v>
      </c>
      <c r="O4" s="5" t="s">
        <v>124</v>
      </c>
      <c r="P4" s="5" t="s">
        <v>124</v>
      </c>
      <c r="Q4" s="5" t="s">
        <v>128</v>
      </c>
      <c r="R4" s="7">
        <v>46251</v>
      </c>
      <c r="S4" s="5" t="s">
        <v>129</v>
      </c>
      <c r="T4" s="5">
        <v>4</v>
      </c>
      <c r="U4" s="5">
        <v>4</v>
      </c>
      <c r="V4" s="5">
        <v>5</v>
      </c>
      <c r="W4" s="5">
        <v>4</v>
      </c>
      <c r="X4" s="5">
        <v>2</v>
      </c>
      <c r="Y4" s="6" t="s">
        <v>162</v>
      </c>
      <c r="Z4" s="6" t="s">
        <v>163</v>
      </c>
      <c r="AA4" s="6" t="s">
        <v>164</v>
      </c>
      <c r="AB4" s="8">
        <v>46262</v>
      </c>
      <c r="AC4" s="6" t="s">
        <v>129</v>
      </c>
      <c r="AD4" s="6" t="s">
        <v>124</v>
      </c>
      <c r="AE4" s="6" t="s">
        <v>124</v>
      </c>
      <c r="AF4" s="6">
        <v>5</v>
      </c>
      <c r="AG4" s="6">
        <v>4</v>
      </c>
      <c r="AH4" s="6">
        <v>2</v>
      </c>
      <c r="AI4" s="6">
        <v>4</v>
      </c>
      <c r="AJ4" s="6">
        <v>4</v>
      </c>
      <c r="AK4" s="6">
        <v>5</v>
      </c>
      <c r="AL4" s="6">
        <v>5</v>
      </c>
      <c r="AM4" s="6">
        <v>2</v>
      </c>
      <c r="AN4" s="6">
        <v>2</v>
      </c>
      <c r="AO4" s="6">
        <v>5</v>
      </c>
      <c r="AP4" s="6" t="s">
        <v>165</v>
      </c>
      <c r="AQ4" s="6" t="s">
        <v>166</v>
      </c>
      <c r="AR4" s="6" t="s">
        <v>167</v>
      </c>
      <c r="AS4" s="6" t="s">
        <v>168</v>
      </c>
      <c r="AT4" s="6" t="s">
        <v>169</v>
      </c>
      <c r="AU4" s="6" t="s">
        <v>170</v>
      </c>
      <c r="AV4" s="6" t="s">
        <v>171</v>
      </c>
      <c r="AW4" s="6" t="s">
        <v>172</v>
      </c>
      <c r="AX4" s="6" t="s">
        <v>173</v>
      </c>
      <c r="AY4" s="6" t="s">
        <v>174</v>
      </c>
      <c r="AZ4" s="6" t="s">
        <v>143</v>
      </c>
    </row>
    <row r="5" spans="1:52" ht="72" customHeight="1" x14ac:dyDescent="0.25">
      <c r="A5" s="9" t="s">
        <v>175</v>
      </c>
      <c r="B5" s="9" t="s">
        <v>145</v>
      </c>
      <c r="C5" s="10" t="s">
        <v>176</v>
      </c>
      <c r="D5" s="10" t="s">
        <v>127</v>
      </c>
      <c r="E5" s="11">
        <v>46238</v>
      </c>
      <c r="F5" s="9" t="s">
        <v>124</v>
      </c>
      <c r="G5" s="9" t="s">
        <v>124</v>
      </c>
      <c r="H5" s="9" t="s">
        <v>124</v>
      </c>
      <c r="I5" s="9" t="s">
        <v>124</v>
      </c>
      <c r="J5" s="9" t="s">
        <v>124</v>
      </c>
      <c r="K5" s="9" t="s">
        <v>124</v>
      </c>
      <c r="L5" s="9" t="s">
        <v>124</v>
      </c>
      <c r="M5" s="9" t="s">
        <v>124</v>
      </c>
      <c r="N5" s="9" t="s">
        <v>124</v>
      </c>
      <c r="O5" s="9" t="s">
        <v>124</v>
      </c>
      <c r="P5" s="9" t="s">
        <v>124</v>
      </c>
      <c r="Q5" s="9" t="s">
        <v>128</v>
      </c>
      <c r="R5" s="11">
        <v>46252</v>
      </c>
      <c r="S5" s="9" t="s">
        <v>129</v>
      </c>
      <c r="T5" s="9">
        <v>5</v>
      </c>
      <c r="U5" s="9">
        <v>5</v>
      </c>
      <c r="V5" s="9">
        <v>4</v>
      </c>
      <c r="W5" s="9">
        <v>5</v>
      </c>
      <c r="X5" s="9">
        <v>1</v>
      </c>
      <c r="Y5" s="10" t="s">
        <v>177</v>
      </c>
      <c r="Z5" s="10" t="s">
        <v>178</v>
      </c>
      <c r="AA5" s="10" t="s">
        <v>179</v>
      </c>
      <c r="AB5" s="12">
        <v>46263</v>
      </c>
      <c r="AC5" s="10" t="s">
        <v>129</v>
      </c>
      <c r="AD5" s="10" t="s">
        <v>124</v>
      </c>
      <c r="AE5" s="10" t="s">
        <v>124</v>
      </c>
      <c r="AF5" s="10">
        <v>5</v>
      </c>
      <c r="AG5" s="10">
        <v>5</v>
      </c>
      <c r="AH5" s="10">
        <v>1</v>
      </c>
      <c r="AI5" s="10">
        <v>5</v>
      </c>
      <c r="AJ5" s="10">
        <v>4</v>
      </c>
      <c r="AK5" s="10">
        <v>4</v>
      </c>
      <c r="AL5" s="10">
        <v>5</v>
      </c>
      <c r="AM5" s="10">
        <v>1</v>
      </c>
      <c r="AN5" s="10">
        <v>1</v>
      </c>
      <c r="AO5" s="10">
        <v>5</v>
      </c>
      <c r="AP5" s="10" t="s">
        <v>180</v>
      </c>
      <c r="AQ5" s="10" t="s">
        <v>181</v>
      </c>
      <c r="AR5" s="10" t="s">
        <v>182</v>
      </c>
      <c r="AS5" s="10" t="s">
        <v>183</v>
      </c>
      <c r="AT5" s="10" t="s">
        <v>184</v>
      </c>
      <c r="AU5" s="10" t="s">
        <v>185</v>
      </c>
      <c r="AV5" s="10" t="s">
        <v>186</v>
      </c>
      <c r="AW5" s="10" t="s">
        <v>187</v>
      </c>
      <c r="AX5" s="10" t="s">
        <v>141</v>
      </c>
      <c r="AY5" s="10" t="s">
        <v>159</v>
      </c>
      <c r="AZ5" s="10" t="s">
        <v>188</v>
      </c>
    </row>
    <row r="6" spans="1:52" ht="72" customHeight="1" x14ac:dyDescent="0.25">
      <c r="A6" s="5" t="s">
        <v>189</v>
      </c>
      <c r="B6" s="5" t="s">
        <v>125</v>
      </c>
      <c r="C6" s="6" t="s">
        <v>126</v>
      </c>
      <c r="D6" s="6" t="s">
        <v>127</v>
      </c>
      <c r="E6" s="7">
        <v>46239</v>
      </c>
      <c r="F6" s="5" t="s">
        <v>124</v>
      </c>
      <c r="G6" s="5" t="s">
        <v>124</v>
      </c>
      <c r="H6" s="5" t="s">
        <v>124</v>
      </c>
      <c r="I6" s="5" t="s">
        <v>124</v>
      </c>
      <c r="J6" s="5" t="s">
        <v>124</v>
      </c>
      <c r="K6" s="5" t="s">
        <v>124</v>
      </c>
      <c r="L6" s="5" t="s">
        <v>124</v>
      </c>
      <c r="M6" s="5" t="s">
        <v>124</v>
      </c>
      <c r="N6" s="5" t="s">
        <v>124</v>
      </c>
      <c r="O6" s="5" t="s">
        <v>124</v>
      </c>
      <c r="P6" s="5" t="s">
        <v>124</v>
      </c>
      <c r="Q6" s="5" t="s">
        <v>128</v>
      </c>
      <c r="R6" s="7">
        <v>46249</v>
      </c>
      <c r="S6" s="5" t="s">
        <v>129</v>
      </c>
      <c r="T6" s="5">
        <v>4</v>
      </c>
      <c r="U6" s="5">
        <v>4</v>
      </c>
      <c r="V6" s="5">
        <v>4</v>
      </c>
      <c r="W6" s="5">
        <v>4</v>
      </c>
      <c r="X6" s="5">
        <v>2</v>
      </c>
      <c r="Y6" s="6" t="s">
        <v>190</v>
      </c>
      <c r="Z6" s="6" t="s">
        <v>191</v>
      </c>
      <c r="AA6" s="6" t="s">
        <v>192</v>
      </c>
      <c r="AB6" s="8">
        <v>46264</v>
      </c>
      <c r="AC6" s="6" t="s">
        <v>129</v>
      </c>
      <c r="AD6" s="6" t="s">
        <v>124</v>
      </c>
      <c r="AE6" s="6" t="s">
        <v>124</v>
      </c>
      <c r="AF6" s="6">
        <v>4</v>
      </c>
      <c r="AG6" s="6">
        <v>4</v>
      </c>
      <c r="AH6" s="6">
        <v>2</v>
      </c>
      <c r="AI6" s="6">
        <v>4</v>
      </c>
      <c r="AJ6" s="6">
        <v>5</v>
      </c>
      <c r="AK6" s="6">
        <v>4</v>
      </c>
      <c r="AL6" s="6">
        <v>4</v>
      </c>
      <c r="AM6" s="6">
        <v>2</v>
      </c>
      <c r="AN6" s="6">
        <v>2</v>
      </c>
      <c r="AO6" s="6">
        <v>4</v>
      </c>
      <c r="AP6" s="6" t="s">
        <v>193</v>
      </c>
      <c r="AQ6" s="6" t="s">
        <v>194</v>
      </c>
      <c r="AR6" s="6" t="s">
        <v>195</v>
      </c>
      <c r="AS6" s="6" t="s">
        <v>196</v>
      </c>
      <c r="AT6" s="6" t="s">
        <v>197</v>
      </c>
      <c r="AU6" s="6" t="s">
        <v>198</v>
      </c>
      <c r="AV6" s="6" t="s">
        <v>199</v>
      </c>
      <c r="AW6" s="6" t="s">
        <v>200</v>
      </c>
      <c r="AX6" s="6" t="s">
        <v>173</v>
      </c>
      <c r="AY6" s="6" t="s">
        <v>142</v>
      </c>
      <c r="AZ6" s="6" t="s">
        <v>201</v>
      </c>
    </row>
    <row r="7" spans="1:52" ht="72" customHeight="1" x14ac:dyDescent="0.25">
      <c r="A7" s="9" t="s">
        <v>202</v>
      </c>
      <c r="B7" s="9" t="s">
        <v>145</v>
      </c>
      <c r="C7" s="10" t="s">
        <v>203</v>
      </c>
      <c r="D7" s="10" t="s">
        <v>147</v>
      </c>
      <c r="E7" s="11">
        <v>46240</v>
      </c>
      <c r="F7" s="9" t="s">
        <v>124</v>
      </c>
      <c r="G7" s="9" t="s">
        <v>124</v>
      </c>
      <c r="H7" s="9" t="s">
        <v>124</v>
      </c>
      <c r="I7" s="9" t="s">
        <v>124</v>
      </c>
      <c r="J7" s="9" t="s">
        <v>124</v>
      </c>
      <c r="K7" s="9" t="s">
        <v>124</v>
      </c>
      <c r="L7" s="9" t="s">
        <v>124</v>
      </c>
      <c r="M7" s="9" t="s">
        <v>124</v>
      </c>
      <c r="N7" s="9" t="s">
        <v>124</v>
      </c>
      <c r="O7" s="9" t="s">
        <v>124</v>
      </c>
      <c r="P7" s="9" t="s">
        <v>124</v>
      </c>
      <c r="Q7" s="9" t="s">
        <v>128</v>
      </c>
      <c r="R7" s="11">
        <v>46250</v>
      </c>
      <c r="S7" s="9" t="s">
        <v>129</v>
      </c>
      <c r="T7" s="9">
        <v>4</v>
      </c>
      <c r="U7" s="9">
        <v>5</v>
      </c>
      <c r="V7" s="9">
        <v>4</v>
      </c>
      <c r="W7" s="9">
        <v>4</v>
      </c>
      <c r="X7" s="9">
        <v>2</v>
      </c>
      <c r="Y7" s="10" t="s">
        <v>204</v>
      </c>
      <c r="Z7" s="10" t="s">
        <v>205</v>
      </c>
      <c r="AA7" s="10" t="s">
        <v>206</v>
      </c>
      <c r="AB7" s="12">
        <v>46260</v>
      </c>
      <c r="AC7" s="10" t="s">
        <v>129</v>
      </c>
      <c r="AD7" s="10" t="s">
        <v>124</v>
      </c>
      <c r="AE7" s="10" t="s">
        <v>124</v>
      </c>
      <c r="AF7" s="10">
        <v>5</v>
      </c>
      <c r="AG7" s="10">
        <v>4</v>
      </c>
      <c r="AH7" s="10">
        <v>2</v>
      </c>
      <c r="AI7" s="10">
        <v>4</v>
      </c>
      <c r="AJ7" s="10">
        <v>4</v>
      </c>
      <c r="AK7" s="10">
        <v>5</v>
      </c>
      <c r="AL7" s="10">
        <v>4</v>
      </c>
      <c r="AM7" s="10">
        <v>2</v>
      </c>
      <c r="AN7" s="10">
        <v>2</v>
      </c>
      <c r="AO7" s="10">
        <v>5</v>
      </c>
      <c r="AP7" s="10" t="s">
        <v>207</v>
      </c>
      <c r="AQ7" s="10" t="s">
        <v>208</v>
      </c>
      <c r="AR7" s="10" t="s">
        <v>209</v>
      </c>
      <c r="AS7" s="10" t="s">
        <v>210</v>
      </c>
      <c r="AT7" s="10" t="s">
        <v>211</v>
      </c>
      <c r="AU7" s="10" t="s">
        <v>212</v>
      </c>
      <c r="AV7" s="10" t="s">
        <v>213</v>
      </c>
      <c r="AW7" s="10" t="s">
        <v>214</v>
      </c>
      <c r="AX7" s="10" t="s">
        <v>141</v>
      </c>
      <c r="AY7" s="10" t="s">
        <v>142</v>
      </c>
      <c r="AZ7" s="10" t="s">
        <v>215</v>
      </c>
    </row>
    <row r="8" spans="1:52" ht="72" customHeight="1" x14ac:dyDescent="0.25">
      <c r="A8" s="5" t="s">
        <v>216</v>
      </c>
      <c r="B8" s="5" t="s">
        <v>125</v>
      </c>
      <c r="C8" s="6" t="s">
        <v>126</v>
      </c>
      <c r="D8" s="6" t="s">
        <v>217</v>
      </c>
      <c r="E8" s="7">
        <v>46241</v>
      </c>
      <c r="F8" s="5" t="s">
        <v>124</v>
      </c>
      <c r="G8" s="5" t="s">
        <v>124</v>
      </c>
      <c r="H8" s="5" t="s">
        <v>124</v>
      </c>
      <c r="I8" s="5" t="s">
        <v>124</v>
      </c>
      <c r="J8" s="5" t="s">
        <v>124</v>
      </c>
      <c r="K8" s="5" t="s">
        <v>124</v>
      </c>
      <c r="L8" s="5" t="s">
        <v>124</v>
      </c>
      <c r="M8" s="5" t="s">
        <v>124</v>
      </c>
      <c r="N8" s="5" t="s">
        <v>124</v>
      </c>
      <c r="O8" s="5" t="s">
        <v>124</v>
      </c>
      <c r="P8" s="5" t="s">
        <v>124</v>
      </c>
      <c r="Q8" s="5" t="s">
        <v>128</v>
      </c>
      <c r="R8" s="7">
        <v>46251</v>
      </c>
      <c r="S8" s="5" t="s">
        <v>129</v>
      </c>
      <c r="T8" s="5">
        <v>5</v>
      </c>
      <c r="U8" s="5">
        <v>5</v>
      </c>
      <c r="V8" s="5">
        <v>5</v>
      </c>
      <c r="W8" s="5">
        <v>5</v>
      </c>
      <c r="X8" s="5">
        <v>1</v>
      </c>
      <c r="Y8" s="6" t="s">
        <v>218</v>
      </c>
      <c r="Z8" s="6" t="s">
        <v>219</v>
      </c>
      <c r="AA8" s="6" t="s">
        <v>220</v>
      </c>
      <c r="AB8" s="8">
        <v>46261</v>
      </c>
      <c r="AC8" s="6" t="s">
        <v>129</v>
      </c>
      <c r="AD8" s="6" t="s">
        <v>124</v>
      </c>
      <c r="AE8" s="6" t="s">
        <v>124</v>
      </c>
      <c r="AF8" s="6">
        <v>5</v>
      </c>
      <c r="AG8" s="6">
        <v>5</v>
      </c>
      <c r="AH8" s="6">
        <v>1</v>
      </c>
      <c r="AI8" s="6">
        <v>5</v>
      </c>
      <c r="AJ8" s="6">
        <v>5</v>
      </c>
      <c r="AK8" s="6">
        <v>5</v>
      </c>
      <c r="AL8" s="6">
        <v>5</v>
      </c>
      <c r="AM8" s="6">
        <v>1</v>
      </c>
      <c r="AN8" s="6">
        <v>1</v>
      </c>
      <c r="AO8" s="6">
        <v>5</v>
      </c>
      <c r="AP8" s="6" t="s">
        <v>221</v>
      </c>
      <c r="AQ8" s="6" t="s">
        <v>222</v>
      </c>
      <c r="AR8" s="6" t="s">
        <v>223</v>
      </c>
      <c r="AS8" s="6" t="s">
        <v>224</v>
      </c>
      <c r="AT8" s="6" t="s">
        <v>225</v>
      </c>
      <c r="AU8" s="6" t="s">
        <v>226</v>
      </c>
      <c r="AV8" s="6" t="s">
        <v>227</v>
      </c>
      <c r="AW8" s="6" t="s">
        <v>228</v>
      </c>
      <c r="AX8" s="6" t="s">
        <v>141</v>
      </c>
      <c r="AY8" s="6" t="s">
        <v>159</v>
      </c>
      <c r="AZ8" s="6" t="s">
        <v>229</v>
      </c>
    </row>
    <row r="9" spans="1:52" ht="72" customHeight="1" x14ac:dyDescent="0.25">
      <c r="A9" s="9" t="s">
        <v>230</v>
      </c>
      <c r="B9" s="9" t="s">
        <v>231</v>
      </c>
      <c r="C9" s="10" t="s">
        <v>146</v>
      </c>
      <c r="D9" s="10" t="s">
        <v>127</v>
      </c>
      <c r="E9" s="11">
        <v>46242</v>
      </c>
      <c r="F9" s="9" t="s">
        <v>124</v>
      </c>
      <c r="G9" s="9" t="s">
        <v>124</v>
      </c>
      <c r="H9" s="9" t="s">
        <v>124</v>
      </c>
      <c r="I9" s="9" t="s">
        <v>124</v>
      </c>
      <c r="J9" s="9" t="s">
        <v>124</v>
      </c>
      <c r="K9" s="9" t="s">
        <v>124</v>
      </c>
      <c r="L9" s="9" t="s">
        <v>124</v>
      </c>
      <c r="M9" s="9" t="s">
        <v>124</v>
      </c>
      <c r="N9" s="9" t="s">
        <v>124</v>
      </c>
      <c r="O9" s="9" t="s">
        <v>124</v>
      </c>
      <c r="P9" s="9" t="s">
        <v>124</v>
      </c>
      <c r="Q9" s="9" t="s">
        <v>128</v>
      </c>
      <c r="R9" s="11">
        <v>46252</v>
      </c>
      <c r="S9" s="9" t="s">
        <v>129</v>
      </c>
      <c r="T9" s="9">
        <v>4</v>
      </c>
      <c r="U9" s="9">
        <v>4</v>
      </c>
      <c r="V9" s="9">
        <v>4</v>
      </c>
      <c r="W9" s="9">
        <v>4</v>
      </c>
      <c r="X9" s="9">
        <v>3</v>
      </c>
      <c r="Y9" s="10" t="s">
        <v>232</v>
      </c>
      <c r="Z9" s="10" t="s">
        <v>233</v>
      </c>
      <c r="AA9" s="10" t="s">
        <v>234</v>
      </c>
      <c r="AB9" s="12">
        <v>46262</v>
      </c>
      <c r="AC9" s="10" t="s">
        <v>129</v>
      </c>
      <c r="AD9" s="10" t="s">
        <v>124</v>
      </c>
      <c r="AE9" s="10" t="s">
        <v>124</v>
      </c>
      <c r="AF9" s="10">
        <v>4</v>
      </c>
      <c r="AG9" s="10">
        <v>4</v>
      </c>
      <c r="AH9" s="10">
        <v>2</v>
      </c>
      <c r="AI9" s="10">
        <v>3</v>
      </c>
      <c r="AJ9" s="10">
        <v>4</v>
      </c>
      <c r="AK9" s="10">
        <v>4</v>
      </c>
      <c r="AL9" s="10">
        <v>4</v>
      </c>
      <c r="AM9" s="10">
        <v>3</v>
      </c>
      <c r="AN9" s="10">
        <v>2</v>
      </c>
      <c r="AO9" s="10">
        <v>4</v>
      </c>
      <c r="AP9" s="10" t="s">
        <v>235</v>
      </c>
      <c r="AQ9" s="10" t="s">
        <v>236</v>
      </c>
      <c r="AR9" s="10" t="s">
        <v>237</v>
      </c>
      <c r="AS9" s="10" t="s">
        <v>238</v>
      </c>
      <c r="AT9" s="10" t="s">
        <v>239</v>
      </c>
      <c r="AU9" s="10" t="s">
        <v>240</v>
      </c>
      <c r="AV9" s="10" t="s">
        <v>241</v>
      </c>
      <c r="AW9" s="10" t="s">
        <v>242</v>
      </c>
      <c r="AX9" s="10" t="s">
        <v>173</v>
      </c>
      <c r="AY9" s="10" t="s">
        <v>142</v>
      </c>
      <c r="AZ9" s="10" t="s">
        <v>243</v>
      </c>
    </row>
    <row r="10" spans="1:52" ht="72" customHeight="1" x14ac:dyDescent="0.25">
      <c r="A10" s="5" t="s">
        <v>244</v>
      </c>
      <c r="B10" s="5" t="s">
        <v>145</v>
      </c>
      <c r="C10" s="6" t="s">
        <v>176</v>
      </c>
      <c r="D10" s="6" t="s">
        <v>147</v>
      </c>
      <c r="E10" s="7">
        <v>46243</v>
      </c>
      <c r="F10" s="5" t="s">
        <v>124</v>
      </c>
      <c r="G10" s="5" t="s">
        <v>124</v>
      </c>
      <c r="H10" s="5" t="s">
        <v>124</v>
      </c>
      <c r="I10" s="5" t="s">
        <v>124</v>
      </c>
      <c r="J10" s="5" t="s">
        <v>124</v>
      </c>
      <c r="K10" s="5" t="s">
        <v>124</v>
      </c>
      <c r="L10" s="5" t="s">
        <v>124</v>
      </c>
      <c r="M10" s="5" t="s">
        <v>124</v>
      </c>
      <c r="N10" s="5" t="s">
        <v>124</v>
      </c>
      <c r="O10" s="5" t="s">
        <v>124</v>
      </c>
      <c r="P10" s="5" t="s">
        <v>124</v>
      </c>
      <c r="Q10" s="5" t="s">
        <v>128</v>
      </c>
      <c r="R10" s="7">
        <v>46249</v>
      </c>
      <c r="S10" s="5" t="s">
        <v>129</v>
      </c>
      <c r="T10" s="5">
        <v>5</v>
      </c>
      <c r="U10" s="5">
        <v>4</v>
      </c>
      <c r="V10" s="5">
        <v>5</v>
      </c>
      <c r="W10" s="5">
        <v>5</v>
      </c>
      <c r="X10" s="5">
        <v>1</v>
      </c>
      <c r="Y10" s="6" t="s">
        <v>245</v>
      </c>
      <c r="Z10" s="6" t="s">
        <v>246</v>
      </c>
      <c r="AA10" s="6" t="s">
        <v>247</v>
      </c>
      <c r="AB10" s="8">
        <v>46263</v>
      </c>
      <c r="AC10" s="6" t="s">
        <v>129</v>
      </c>
      <c r="AD10" s="6" t="s">
        <v>124</v>
      </c>
      <c r="AE10" s="6" t="s">
        <v>124</v>
      </c>
      <c r="AF10" s="6">
        <v>5</v>
      </c>
      <c r="AG10" s="6">
        <v>5</v>
      </c>
      <c r="AH10" s="6">
        <v>1</v>
      </c>
      <c r="AI10" s="6">
        <v>4</v>
      </c>
      <c r="AJ10" s="6">
        <v>5</v>
      </c>
      <c r="AK10" s="6">
        <v>5</v>
      </c>
      <c r="AL10" s="6">
        <v>5</v>
      </c>
      <c r="AM10" s="6">
        <v>1</v>
      </c>
      <c r="AN10" s="6">
        <v>1</v>
      </c>
      <c r="AO10" s="6">
        <v>5</v>
      </c>
      <c r="AP10" s="6" t="s">
        <v>248</v>
      </c>
      <c r="AQ10" s="6" t="s">
        <v>249</v>
      </c>
      <c r="AR10" s="6" t="s">
        <v>250</v>
      </c>
      <c r="AS10" s="6" t="s">
        <v>251</v>
      </c>
      <c r="AT10" s="6" t="s">
        <v>252</v>
      </c>
      <c r="AU10" s="6" t="s">
        <v>253</v>
      </c>
      <c r="AV10" s="6" t="s">
        <v>254</v>
      </c>
      <c r="AW10" s="6" t="s">
        <v>255</v>
      </c>
      <c r="AX10" s="6" t="s">
        <v>141</v>
      </c>
      <c r="AY10" s="6" t="s">
        <v>159</v>
      </c>
      <c r="AZ10" s="6" t="s">
        <v>256</v>
      </c>
    </row>
    <row r="11" spans="1:52" ht="72" customHeight="1" x14ac:dyDescent="0.25">
      <c r="A11" s="9" t="s">
        <v>257</v>
      </c>
      <c r="B11" s="9" t="s">
        <v>125</v>
      </c>
      <c r="C11" s="10" t="s">
        <v>126</v>
      </c>
      <c r="D11" s="10" t="s">
        <v>258</v>
      </c>
      <c r="E11" s="11">
        <v>46244</v>
      </c>
      <c r="F11" s="9" t="s">
        <v>124</v>
      </c>
      <c r="G11" s="9" t="s">
        <v>124</v>
      </c>
      <c r="H11" s="9" t="s">
        <v>124</v>
      </c>
      <c r="I11" s="9" t="s">
        <v>124</v>
      </c>
      <c r="J11" s="9" t="s">
        <v>124</v>
      </c>
      <c r="K11" s="9" t="s">
        <v>124</v>
      </c>
      <c r="L11" s="9" t="s">
        <v>124</v>
      </c>
      <c r="M11" s="9" t="s">
        <v>124</v>
      </c>
      <c r="N11" s="9" t="s">
        <v>124</v>
      </c>
      <c r="O11" s="9" t="s">
        <v>124</v>
      </c>
      <c r="P11" s="9" t="s">
        <v>124</v>
      </c>
      <c r="Q11" s="9" t="s">
        <v>128</v>
      </c>
      <c r="R11" s="11">
        <v>46250</v>
      </c>
      <c r="S11" s="9" t="s">
        <v>129</v>
      </c>
      <c r="T11" s="9">
        <v>4</v>
      </c>
      <c r="U11" s="9">
        <v>4</v>
      </c>
      <c r="V11" s="9">
        <v>5</v>
      </c>
      <c r="W11" s="9">
        <v>5</v>
      </c>
      <c r="X11" s="9">
        <v>2</v>
      </c>
      <c r="Y11" s="10" t="s">
        <v>259</v>
      </c>
      <c r="Z11" s="10" t="s">
        <v>260</v>
      </c>
      <c r="AA11" s="10" t="s">
        <v>261</v>
      </c>
      <c r="AB11" s="12">
        <v>46264</v>
      </c>
      <c r="AC11" s="10" t="s">
        <v>129</v>
      </c>
      <c r="AD11" s="10" t="s">
        <v>124</v>
      </c>
      <c r="AE11" s="10" t="s">
        <v>124</v>
      </c>
      <c r="AF11" s="10">
        <v>4</v>
      </c>
      <c r="AG11" s="10">
        <v>5</v>
      </c>
      <c r="AH11" s="10">
        <v>2</v>
      </c>
      <c r="AI11" s="10">
        <v>4</v>
      </c>
      <c r="AJ11" s="10">
        <v>4</v>
      </c>
      <c r="AK11" s="10">
        <v>5</v>
      </c>
      <c r="AL11" s="10">
        <v>4</v>
      </c>
      <c r="AM11" s="10">
        <v>2</v>
      </c>
      <c r="AN11" s="10">
        <v>2</v>
      </c>
      <c r="AO11" s="10">
        <v>4</v>
      </c>
      <c r="AP11" s="10" t="s">
        <v>262</v>
      </c>
      <c r="AQ11" s="10" t="s">
        <v>263</v>
      </c>
      <c r="AR11" s="10" t="s">
        <v>264</v>
      </c>
      <c r="AS11" s="10" t="s">
        <v>265</v>
      </c>
      <c r="AT11" s="10" t="s">
        <v>266</v>
      </c>
      <c r="AU11" s="10" t="s">
        <v>267</v>
      </c>
      <c r="AV11" s="10" t="s">
        <v>268</v>
      </c>
      <c r="AW11" s="10" t="s">
        <v>269</v>
      </c>
      <c r="AX11" s="10" t="s">
        <v>173</v>
      </c>
      <c r="AY11" s="10" t="s">
        <v>142</v>
      </c>
      <c r="AZ11" s="10" t="s">
        <v>270</v>
      </c>
    </row>
    <row r="12" spans="1:52" ht="72" customHeight="1" x14ac:dyDescent="0.25">
      <c r="A12" s="5" t="s">
        <v>271</v>
      </c>
      <c r="B12" s="5" t="s">
        <v>145</v>
      </c>
      <c r="C12" s="6" t="s">
        <v>203</v>
      </c>
      <c r="D12" s="6" t="s">
        <v>127</v>
      </c>
      <c r="E12" s="7">
        <v>46245</v>
      </c>
      <c r="F12" s="5" t="s">
        <v>124</v>
      </c>
      <c r="G12" s="5" t="s">
        <v>124</v>
      </c>
      <c r="H12" s="5" t="s">
        <v>124</v>
      </c>
      <c r="I12" s="5" t="s">
        <v>124</v>
      </c>
      <c r="J12" s="5" t="s">
        <v>124</v>
      </c>
      <c r="K12" s="5" t="s">
        <v>124</v>
      </c>
      <c r="L12" s="5" t="s">
        <v>124</v>
      </c>
      <c r="M12" s="5" t="s">
        <v>124</v>
      </c>
      <c r="N12" s="5" t="s">
        <v>124</v>
      </c>
      <c r="O12" s="5" t="s">
        <v>124</v>
      </c>
      <c r="P12" s="5" t="s">
        <v>124</v>
      </c>
      <c r="Q12" s="5" t="s">
        <v>128</v>
      </c>
      <c r="R12" s="7">
        <v>46251</v>
      </c>
      <c r="S12" s="5" t="s">
        <v>129</v>
      </c>
      <c r="T12" s="5">
        <v>4</v>
      </c>
      <c r="U12" s="5">
        <v>5</v>
      </c>
      <c r="V12" s="5">
        <v>4</v>
      </c>
      <c r="W12" s="5">
        <v>4</v>
      </c>
      <c r="X12" s="5">
        <v>2</v>
      </c>
      <c r="Y12" s="6" t="s">
        <v>272</v>
      </c>
      <c r="Z12" s="6" t="s">
        <v>273</v>
      </c>
      <c r="AA12" s="6" t="s">
        <v>274</v>
      </c>
      <c r="AB12" s="8">
        <v>46260</v>
      </c>
      <c r="AC12" s="6" t="s">
        <v>129</v>
      </c>
      <c r="AD12" s="6" t="s">
        <v>124</v>
      </c>
      <c r="AE12" s="6" t="s">
        <v>124</v>
      </c>
      <c r="AF12" s="6">
        <v>4</v>
      </c>
      <c r="AG12" s="6">
        <v>4</v>
      </c>
      <c r="AH12" s="6">
        <v>2</v>
      </c>
      <c r="AI12" s="6">
        <v>4</v>
      </c>
      <c r="AJ12" s="6">
        <v>5</v>
      </c>
      <c r="AK12" s="6">
        <v>4</v>
      </c>
      <c r="AL12" s="6">
        <v>5</v>
      </c>
      <c r="AM12" s="6">
        <v>2</v>
      </c>
      <c r="AN12" s="6">
        <v>2</v>
      </c>
      <c r="AO12" s="6">
        <v>5</v>
      </c>
      <c r="AP12" s="6" t="s">
        <v>275</v>
      </c>
      <c r="AQ12" s="6" t="s">
        <v>276</v>
      </c>
      <c r="AR12" s="6" t="s">
        <v>277</v>
      </c>
      <c r="AS12" s="6" t="s">
        <v>278</v>
      </c>
      <c r="AT12" s="6" t="s">
        <v>279</v>
      </c>
      <c r="AU12" s="6" t="s">
        <v>280</v>
      </c>
      <c r="AV12" s="6" t="s">
        <v>281</v>
      </c>
      <c r="AW12" s="6" t="s">
        <v>282</v>
      </c>
      <c r="AX12" s="6" t="s">
        <v>141</v>
      </c>
      <c r="AY12" s="6" t="s">
        <v>283</v>
      </c>
      <c r="AZ12" s="6" t="s">
        <v>188</v>
      </c>
    </row>
    <row r="13" spans="1:52" ht="72" customHeight="1" x14ac:dyDescent="0.25">
      <c r="A13" s="9" t="s">
        <v>284</v>
      </c>
      <c r="B13" s="9" t="s">
        <v>125</v>
      </c>
      <c r="C13" s="10" t="s">
        <v>126</v>
      </c>
      <c r="D13" s="10" t="s">
        <v>147</v>
      </c>
      <c r="E13" s="11">
        <v>46246</v>
      </c>
      <c r="F13" s="9" t="s">
        <v>124</v>
      </c>
      <c r="G13" s="9" t="s">
        <v>124</v>
      </c>
      <c r="H13" s="9" t="s">
        <v>124</v>
      </c>
      <c r="I13" s="9" t="s">
        <v>124</v>
      </c>
      <c r="J13" s="9" t="s">
        <v>124</v>
      </c>
      <c r="K13" s="9" t="s">
        <v>124</v>
      </c>
      <c r="L13" s="9" t="s">
        <v>124</v>
      </c>
      <c r="M13" s="9" t="s">
        <v>124</v>
      </c>
      <c r="N13" s="9" t="s">
        <v>124</v>
      </c>
      <c r="O13" s="9" t="s">
        <v>124</v>
      </c>
      <c r="P13" s="9" t="s">
        <v>124</v>
      </c>
      <c r="Q13" s="9" t="s">
        <v>128</v>
      </c>
      <c r="R13" s="11">
        <v>46252</v>
      </c>
      <c r="S13" s="9" t="s">
        <v>129</v>
      </c>
      <c r="T13" s="9">
        <v>5</v>
      </c>
      <c r="U13" s="9">
        <v>5</v>
      </c>
      <c r="V13" s="9">
        <v>5</v>
      </c>
      <c r="W13" s="9">
        <v>5</v>
      </c>
      <c r="X13" s="9">
        <v>1</v>
      </c>
      <c r="Y13" s="10" t="s">
        <v>285</v>
      </c>
      <c r="Z13" s="10" t="s">
        <v>286</v>
      </c>
      <c r="AA13" s="10" t="s">
        <v>287</v>
      </c>
      <c r="AB13" s="12">
        <v>46261</v>
      </c>
      <c r="AC13" s="10" t="s">
        <v>129</v>
      </c>
      <c r="AD13" s="10" t="s">
        <v>288</v>
      </c>
      <c r="AE13" s="10" t="s">
        <v>288</v>
      </c>
      <c r="AF13" s="10">
        <v>5</v>
      </c>
      <c r="AG13" s="10">
        <v>5</v>
      </c>
      <c r="AH13" s="10">
        <v>1</v>
      </c>
      <c r="AI13" s="10"/>
      <c r="AJ13" s="10"/>
      <c r="AK13" s="10"/>
      <c r="AL13" s="10"/>
      <c r="AM13" s="10"/>
      <c r="AN13" s="10"/>
      <c r="AO13" s="10">
        <v>3</v>
      </c>
      <c r="AP13" s="10"/>
      <c r="AQ13" s="10"/>
      <c r="AR13" s="10"/>
      <c r="AS13" s="10"/>
      <c r="AT13" s="10"/>
      <c r="AU13" s="10"/>
      <c r="AV13" s="10" t="s">
        <v>289</v>
      </c>
      <c r="AW13" s="10" t="s">
        <v>290</v>
      </c>
      <c r="AX13" s="10" t="s">
        <v>291</v>
      </c>
      <c r="AY13" s="10" t="s">
        <v>291</v>
      </c>
      <c r="AZ13" s="10" t="s">
        <v>292</v>
      </c>
    </row>
  </sheetData>
  <autoFilter ref="A1:AZ13" xr:uid="{00000000-0009-0000-0000-000001000000}"/>
  <dataValidations count="4">
    <dataValidation type="list" sqref="F2:F13 G2:G13 H2:H13 I2:I13 J2:J13 K2:K13 L2:L13 M2:M13 N2:N13 O2:O13 P2:P13" xr:uid="{00000000-0002-0000-0100-000000000000}">
      <formula1>"Yes,No"</formula1>
    </dataValidation>
    <dataValidation type="list" sqref="S2:S13 AC2:AC13" xr:uid="{00000000-0002-0000-0100-000001000000}">
      <formula1>"Confirm,Prefer not to confirm"</formula1>
    </dataValidation>
    <dataValidation type="list" sqref="AD2:AD13 AE2:AE13" xr:uid="{00000000-0002-0000-0100-000002000000}">
      <formula1>"Yes,No,Not sure"</formula1>
    </dataValidation>
    <dataValidation type="whole" allowBlank="1" sqref="T2:T13 U2:U13 V2:V13 W2:W13 X2:X13 AF2:AF13 AG2:AG13 AH2:AH13 AI2:AI13 AJ2:AJ13 AK2:AK13 AL2:AL13 AM2:AM13 AN2:AN13 AO2:AO13" xr:uid="{00000000-0002-0000-0100-000003000000}">
      <formula1>1</formula1>
      <formula2>5</formula2>
    </dataValidation>
  </dataValidations>
  <pageMargins left="0.25" right="0.25" top="0.5" bottom="0.5" header="0.5" footer="0.5"/>
  <pageSetup fitToWidth="4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K42"/>
  <sheetViews>
    <sheetView showGridLines="0" workbookViewId="0">
      <pane ySplit="6" topLeftCell="A42" activePane="bottomLeft" state="frozen"/>
      <selection pane="bottomLeft" activeCell="L40" sqref="A40:XFD40"/>
    </sheetView>
  </sheetViews>
  <sheetFormatPr defaultRowHeight="15" x14ac:dyDescent="0.25"/>
  <cols>
    <col min="1" max="1" width="26" customWidth="1"/>
    <col min="2" max="2" width="24" customWidth="1"/>
    <col min="3" max="3" width="58" customWidth="1"/>
    <col min="4" max="5" width="11" customWidth="1"/>
    <col min="6" max="8" width="9" customWidth="1"/>
    <col min="9" max="9" width="13" customWidth="1"/>
    <col min="10" max="10" width="14" customWidth="1"/>
    <col min="11" max="11" width="15" customWidth="1"/>
  </cols>
  <sheetData>
    <row r="2" spans="1:11" x14ac:dyDescent="0.25">
      <c r="A2" s="23" t="s">
        <v>293</v>
      </c>
      <c r="B2" s="20"/>
      <c r="C2" s="23" t="s">
        <v>294</v>
      </c>
      <c r="D2" s="20"/>
      <c r="E2" s="23" t="s">
        <v>295</v>
      </c>
      <c r="F2" s="20"/>
      <c r="G2" s="23" t="s">
        <v>296</v>
      </c>
      <c r="H2" s="20"/>
    </row>
    <row r="3" spans="1:11" ht="24" x14ac:dyDescent="0.4">
      <c r="A3" s="24">
        <f>COUNTA(Responses!A2:A13)</f>
        <v>12</v>
      </c>
      <c r="B3" s="20"/>
      <c r="C3" s="24">
        <f>COUNTIF(Responses!AD2:AD13,"Yes")</f>
        <v>11</v>
      </c>
      <c r="D3" s="20"/>
      <c r="E3" s="24">
        <f>COUNTIF(Responses!AO2:AO13,"&gt;=4")</f>
        <v>11</v>
      </c>
      <c r="F3" s="20"/>
      <c r="G3" s="26">
        <f>COUNTIF(Responses!AO2:AO13,"&gt;=4")/COUNT(Responses!AO2:AO13)</f>
        <v>0.91666666666666663</v>
      </c>
      <c r="H3" s="20"/>
    </row>
    <row r="5" spans="1:11" ht="17.25" x14ac:dyDescent="0.3">
      <c r="A5" s="13" t="s">
        <v>297</v>
      </c>
    </row>
    <row r="6" spans="1:11" ht="30" x14ac:dyDescent="0.25">
      <c r="A6" s="14" t="s">
        <v>298</v>
      </c>
      <c r="B6" s="14" t="s">
        <v>299</v>
      </c>
      <c r="C6" s="14" t="s">
        <v>300</v>
      </c>
      <c r="D6" s="14" t="s">
        <v>301</v>
      </c>
      <c r="E6" s="14" t="s">
        <v>302</v>
      </c>
      <c r="F6" s="14" t="s">
        <v>303</v>
      </c>
      <c r="G6" s="14" t="s">
        <v>304</v>
      </c>
      <c r="H6" s="14" t="s">
        <v>305</v>
      </c>
      <c r="I6" s="14" t="s">
        <v>306</v>
      </c>
      <c r="J6" s="14" t="s">
        <v>307</v>
      </c>
      <c r="K6" s="14" t="s">
        <v>308</v>
      </c>
    </row>
    <row r="7" spans="1:11" ht="33.950000000000003" customHeight="1" x14ac:dyDescent="0.25">
      <c r="A7" s="10" t="s">
        <v>309</v>
      </c>
      <c r="B7" s="10" t="s">
        <v>35</v>
      </c>
      <c r="C7" s="10" t="s">
        <v>37</v>
      </c>
      <c r="D7" s="10">
        <f>COUNT(Responses!T$2:T$13)</f>
        <v>12</v>
      </c>
      <c r="E7" s="10">
        <f>IFERROR(MEDIAN(Responses!T$2:T$13),"")</f>
        <v>4</v>
      </c>
      <c r="F7" s="10">
        <f>IFERROR(QUARTILE(Responses!T$2:T$13,1),"")</f>
        <v>4</v>
      </c>
      <c r="G7" s="10">
        <f>IFERROR(QUARTILE(Responses!T$2:T$13,3),"")</f>
        <v>5</v>
      </c>
      <c r="H7" s="10">
        <f t="shared" ref="H7:H21" si="0">IF(OR(F7="",G7=""),"",G7-F7)</f>
        <v>1</v>
      </c>
      <c r="I7" s="10">
        <f>COUNTIF(Responses!T$2:T$13,"&gt;=4")</f>
        <v>12</v>
      </c>
      <c r="J7" s="15">
        <f t="shared" ref="J7:J21" si="1">IFERROR(I7/D7,"")</f>
        <v>1</v>
      </c>
      <c r="K7" s="10">
        <f t="shared" ref="K7:K21" si="2">12-D7</f>
        <v>0</v>
      </c>
    </row>
    <row r="8" spans="1:11" ht="33.950000000000003" customHeight="1" x14ac:dyDescent="0.25">
      <c r="A8" s="6" t="s">
        <v>309</v>
      </c>
      <c r="B8" s="6" t="s">
        <v>40</v>
      </c>
      <c r="C8" s="6" t="s">
        <v>41</v>
      </c>
      <c r="D8" s="6">
        <f>COUNT(Responses!U$2:U$13)</f>
        <v>12</v>
      </c>
      <c r="E8" s="6">
        <f>IFERROR(MEDIAN(Responses!U$2:U$13),"")</f>
        <v>4.5</v>
      </c>
      <c r="F8" s="6">
        <f>IFERROR(QUARTILE(Responses!U$2:U$13,1),"")</f>
        <v>4</v>
      </c>
      <c r="G8" s="6">
        <f>IFERROR(QUARTILE(Responses!U$2:U$13,3),"")</f>
        <v>5</v>
      </c>
      <c r="H8" s="6">
        <f t="shared" si="0"/>
        <v>1</v>
      </c>
      <c r="I8" s="6">
        <f>COUNTIF(Responses!U$2:U$13,"&gt;=4")</f>
        <v>12</v>
      </c>
      <c r="J8" s="16">
        <f t="shared" si="1"/>
        <v>1</v>
      </c>
      <c r="K8" s="6">
        <f t="shared" si="2"/>
        <v>0</v>
      </c>
    </row>
    <row r="9" spans="1:11" ht="33.950000000000003" customHeight="1" x14ac:dyDescent="0.25">
      <c r="A9" s="10" t="s">
        <v>309</v>
      </c>
      <c r="B9" s="10" t="s">
        <v>42</v>
      </c>
      <c r="C9" s="10" t="s">
        <v>43</v>
      </c>
      <c r="D9" s="10">
        <f>COUNT(Responses!V$2:V$13)</f>
        <v>12</v>
      </c>
      <c r="E9" s="10">
        <f>IFERROR(MEDIAN(Responses!V$2:V$13),"")</f>
        <v>5</v>
      </c>
      <c r="F9" s="10">
        <f>IFERROR(QUARTILE(Responses!V$2:V$13,1),"")</f>
        <v>4</v>
      </c>
      <c r="G9" s="10">
        <f>IFERROR(QUARTILE(Responses!V$2:V$13,3),"")</f>
        <v>5</v>
      </c>
      <c r="H9" s="10">
        <f t="shared" si="0"/>
        <v>1</v>
      </c>
      <c r="I9" s="10">
        <f>COUNTIF(Responses!V$2:V$13,"&gt;=4")</f>
        <v>12</v>
      </c>
      <c r="J9" s="15">
        <f t="shared" si="1"/>
        <v>1</v>
      </c>
      <c r="K9" s="10">
        <f t="shared" si="2"/>
        <v>0</v>
      </c>
    </row>
    <row r="10" spans="1:11" ht="33.950000000000003" customHeight="1" x14ac:dyDescent="0.25">
      <c r="A10" s="6" t="s">
        <v>309</v>
      </c>
      <c r="B10" s="6" t="s">
        <v>44</v>
      </c>
      <c r="C10" s="6" t="s">
        <v>45</v>
      </c>
      <c r="D10" s="6">
        <f>COUNT(Responses!W$2:W$13)</f>
        <v>12</v>
      </c>
      <c r="E10" s="6">
        <f>IFERROR(MEDIAN(Responses!W$2:W$13),"")</f>
        <v>5</v>
      </c>
      <c r="F10" s="6">
        <f>IFERROR(QUARTILE(Responses!W$2:W$13,1),"")</f>
        <v>4</v>
      </c>
      <c r="G10" s="6">
        <f>IFERROR(QUARTILE(Responses!W$2:W$13,3),"")</f>
        <v>5</v>
      </c>
      <c r="H10" s="6">
        <f t="shared" si="0"/>
        <v>1</v>
      </c>
      <c r="I10" s="6">
        <f>COUNTIF(Responses!W$2:W$13,"&gt;=4")</f>
        <v>12</v>
      </c>
      <c r="J10" s="16">
        <f t="shared" si="1"/>
        <v>1</v>
      </c>
      <c r="K10" s="6">
        <f t="shared" si="2"/>
        <v>0</v>
      </c>
    </row>
    <row r="11" spans="1:11" ht="33.950000000000003" customHeight="1" x14ac:dyDescent="0.25">
      <c r="A11" s="10" t="s">
        <v>309</v>
      </c>
      <c r="B11" s="10" t="s">
        <v>46</v>
      </c>
      <c r="C11" s="10" t="s">
        <v>47</v>
      </c>
      <c r="D11" s="10">
        <f>COUNT(Responses!X$2:X$13)</f>
        <v>12</v>
      </c>
      <c r="E11" s="10">
        <f>IFERROR(MEDIAN(Responses!X$2:X$13),"")</f>
        <v>2</v>
      </c>
      <c r="F11" s="10">
        <f>IFERROR(QUARTILE(Responses!X$2:X$13,1),"")</f>
        <v>1</v>
      </c>
      <c r="G11" s="10">
        <f>IFERROR(QUARTILE(Responses!X$2:X$13,3),"")</f>
        <v>2</v>
      </c>
      <c r="H11" s="10">
        <f t="shared" si="0"/>
        <v>1</v>
      </c>
      <c r="I11" s="10">
        <f>COUNTIF(Responses!X$2:X$13,"&lt;=2")</f>
        <v>11</v>
      </c>
      <c r="J11" s="15">
        <f t="shared" si="1"/>
        <v>0.91666666666666663</v>
      </c>
      <c r="K11" s="10">
        <f t="shared" si="2"/>
        <v>0</v>
      </c>
    </row>
    <row r="12" spans="1:11" ht="33.950000000000003" customHeight="1" x14ac:dyDescent="0.25">
      <c r="A12" s="6" t="s">
        <v>310</v>
      </c>
      <c r="B12" s="6" t="s">
        <v>66</v>
      </c>
      <c r="C12" s="6" t="s">
        <v>67</v>
      </c>
      <c r="D12" s="6">
        <f>COUNT(Responses!AF$2:AF$13)</f>
        <v>12</v>
      </c>
      <c r="E12" s="6">
        <f>IFERROR(MEDIAN(Responses!AF$2:AF$13),"")</f>
        <v>5</v>
      </c>
      <c r="F12" s="6">
        <f>IFERROR(QUARTILE(Responses!AF$2:AF$13,1),"")</f>
        <v>4</v>
      </c>
      <c r="G12" s="6">
        <f>IFERROR(QUARTILE(Responses!AF$2:AF$13,3),"")</f>
        <v>5</v>
      </c>
      <c r="H12" s="6">
        <f t="shared" si="0"/>
        <v>1</v>
      </c>
      <c r="I12" s="6">
        <f>COUNTIF(Responses!AF$2:AF$13,"&gt;=4")</f>
        <v>12</v>
      </c>
      <c r="J12" s="16">
        <f t="shared" si="1"/>
        <v>1</v>
      </c>
      <c r="K12" s="6">
        <f t="shared" si="2"/>
        <v>0</v>
      </c>
    </row>
    <row r="13" spans="1:11" ht="33.950000000000003" customHeight="1" x14ac:dyDescent="0.25">
      <c r="A13" s="10" t="s">
        <v>310</v>
      </c>
      <c r="B13" s="10" t="s">
        <v>68</v>
      </c>
      <c r="C13" s="10" t="s">
        <v>45</v>
      </c>
      <c r="D13" s="10">
        <f>COUNT(Responses!AG$2:AG$13)</f>
        <v>12</v>
      </c>
      <c r="E13" s="10">
        <f>IFERROR(MEDIAN(Responses!AG$2:AG$13),"")</f>
        <v>5</v>
      </c>
      <c r="F13" s="10">
        <f>IFERROR(QUARTILE(Responses!AG$2:AG$13,1),"")</f>
        <v>4</v>
      </c>
      <c r="G13" s="10">
        <f>IFERROR(QUARTILE(Responses!AG$2:AG$13,3),"")</f>
        <v>5</v>
      </c>
      <c r="H13" s="10">
        <f t="shared" si="0"/>
        <v>1</v>
      </c>
      <c r="I13" s="10">
        <f>COUNTIF(Responses!AG$2:AG$13,"&gt;=4")</f>
        <v>12</v>
      </c>
      <c r="J13" s="15">
        <f t="shared" si="1"/>
        <v>1</v>
      </c>
      <c r="K13" s="10">
        <f t="shared" si="2"/>
        <v>0</v>
      </c>
    </row>
    <row r="14" spans="1:11" ht="33.950000000000003" customHeight="1" x14ac:dyDescent="0.25">
      <c r="A14" s="6" t="s">
        <v>310</v>
      </c>
      <c r="B14" s="6" t="s">
        <v>69</v>
      </c>
      <c r="C14" s="6" t="s">
        <v>70</v>
      </c>
      <c r="D14" s="6">
        <f>COUNT(Responses!AH$2:AH$13)</f>
        <v>12</v>
      </c>
      <c r="E14" s="6">
        <f>IFERROR(MEDIAN(Responses!AH$2:AH$13),"")</f>
        <v>2</v>
      </c>
      <c r="F14" s="6">
        <f>IFERROR(QUARTILE(Responses!AH$2:AH$13,1),"")</f>
        <v>1</v>
      </c>
      <c r="G14" s="6">
        <f>IFERROR(QUARTILE(Responses!AH$2:AH$13,3),"")</f>
        <v>2</v>
      </c>
      <c r="H14" s="6">
        <f t="shared" si="0"/>
        <v>1</v>
      </c>
      <c r="I14" s="6">
        <f>COUNTIF(Responses!AH$2:AH$13,"&lt;=2")</f>
        <v>12</v>
      </c>
      <c r="J14" s="16">
        <f t="shared" si="1"/>
        <v>1</v>
      </c>
      <c r="K14" s="6">
        <f t="shared" si="2"/>
        <v>0</v>
      </c>
    </row>
    <row r="15" spans="1:11" ht="33.950000000000003" customHeight="1" x14ac:dyDescent="0.25">
      <c r="A15" s="10" t="s">
        <v>310</v>
      </c>
      <c r="B15" s="10" t="s">
        <v>71</v>
      </c>
      <c r="C15" s="10" t="s">
        <v>72</v>
      </c>
      <c r="D15" s="10">
        <f>COUNT(Responses!AI$2:AI$13)</f>
        <v>11</v>
      </c>
      <c r="E15" s="10">
        <f>IFERROR(MEDIAN(Responses!AI$2:AI$13),"")</f>
        <v>4</v>
      </c>
      <c r="F15" s="10">
        <f>IFERROR(QUARTILE(Responses!AI$2:AI$13,1),"")</f>
        <v>4</v>
      </c>
      <c r="G15" s="10">
        <f>IFERROR(QUARTILE(Responses!AI$2:AI$13,3),"")</f>
        <v>4.5</v>
      </c>
      <c r="H15" s="10">
        <f t="shared" si="0"/>
        <v>0.5</v>
      </c>
      <c r="I15" s="10">
        <f>COUNTIF(Responses!AI$2:AI$13,"&gt;=4")</f>
        <v>10</v>
      </c>
      <c r="J15" s="15">
        <f t="shared" si="1"/>
        <v>0.90909090909090906</v>
      </c>
      <c r="K15" s="10">
        <f t="shared" si="2"/>
        <v>1</v>
      </c>
    </row>
    <row r="16" spans="1:11" ht="33.950000000000003" customHeight="1" x14ac:dyDescent="0.25">
      <c r="A16" s="6" t="s">
        <v>310</v>
      </c>
      <c r="B16" s="6" t="s">
        <v>74</v>
      </c>
      <c r="C16" s="6" t="s">
        <v>75</v>
      </c>
      <c r="D16" s="6">
        <f>COUNT(Responses!AJ$2:AJ$13)</f>
        <v>11</v>
      </c>
      <c r="E16" s="6">
        <f>IFERROR(MEDIAN(Responses!AJ$2:AJ$13),"")</f>
        <v>5</v>
      </c>
      <c r="F16" s="6">
        <f>IFERROR(QUARTILE(Responses!AJ$2:AJ$13,1),"")</f>
        <v>4</v>
      </c>
      <c r="G16" s="6">
        <f>IFERROR(QUARTILE(Responses!AJ$2:AJ$13,3),"")</f>
        <v>5</v>
      </c>
      <c r="H16" s="6">
        <f t="shared" si="0"/>
        <v>1</v>
      </c>
      <c r="I16" s="6">
        <f>COUNTIF(Responses!AJ$2:AJ$13,"&gt;=4")</f>
        <v>11</v>
      </c>
      <c r="J16" s="16">
        <f t="shared" si="1"/>
        <v>1</v>
      </c>
      <c r="K16" s="6">
        <f t="shared" si="2"/>
        <v>1</v>
      </c>
    </row>
    <row r="17" spans="1:11" ht="33.950000000000003" customHeight="1" x14ac:dyDescent="0.25">
      <c r="A17" s="10" t="s">
        <v>310</v>
      </c>
      <c r="B17" s="10" t="s">
        <v>76</v>
      </c>
      <c r="C17" s="10" t="s">
        <v>77</v>
      </c>
      <c r="D17" s="10">
        <f>COUNT(Responses!AK$2:AK$13)</f>
        <v>11</v>
      </c>
      <c r="E17" s="10">
        <f>IFERROR(MEDIAN(Responses!AK$2:AK$13),"")</f>
        <v>5</v>
      </c>
      <c r="F17" s="10">
        <f>IFERROR(QUARTILE(Responses!AK$2:AK$13,1),"")</f>
        <v>4</v>
      </c>
      <c r="G17" s="10">
        <f>IFERROR(QUARTILE(Responses!AK$2:AK$13,3),"")</f>
        <v>5</v>
      </c>
      <c r="H17" s="10">
        <f t="shared" si="0"/>
        <v>1</v>
      </c>
      <c r="I17" s="10">
        <f>COUNTIF(Responses!AK$2:AK$13,"&gt;=4")</f>
        <v>11</v>
      </c>
      <c r="J17" s="15">
        <f t="shared" si="1"/>
        <v>1</v>
      </c>
      <c r="K17" s="10">
        <f t="shared" si="2"/>
        <v>1</v>
      </c>
    </row>
    <row r="18" spans="1:11" ht="33.950000000000003" customHeight="1" x14ac:dyDescent="0.25">
      <c r="A18" s="6" t="s">
        <v>310</v>
      </c>
      <c r="B18" s="6" t="s">
        <v>78</v>
      </c>
      <c r="C18" s="6" t="s">
        <v>79</v>
      </c>
      <c r="D18" s="6">
        <f>COUNT(Responses!AL$2:AL$13)</f>
        <v>11</v>
      </c>
      <c r="E18" s="6">
        <f>IFERROR(MEDIAN(Responses!AL$2:AL$13),"")</f>
        <v>5</v>
      </c>
      <c r="F18" s="6">
        <f>IFERROR(QUARTILE(Responses!AL$2:AL$13,1),"")</f>
        <v>4</v>
      </c>
      <c r="G18" s="6">
        <f>IFERROR(QUARTILE(Responses!AL$2:AL$13,3),"")</f>
        <v>5</v>
      </c>
      <c r="H18" s="6">
        <f t="shared" si="0"/>
        <v>1</v>
      </c>
      <c r="I18" s="6">
        <f>COUNTIF(Responses!AL$2:AL$13,"&gt;=4")</f>
        <v>11</v>
      </c>
      <c r="J18" s="16">
        <f t="shared" si="1"/>
        <v>1</v>
      </c>
      <c r="K18" s="6">
        <f t="shared" si="2"/>
        <v>1</v>
      </c>
    </row>
    <row r="19" spans="1:11" ht="33.950000000000003" customHeight="1" x14ac:dyDescent="0.25">
      <c r="A19" s="10" t="s">
        <v>310</v>
      </c>
      <c r="B19" s="10" t="s">
        <v>80</v>
      </c>
      <c r="C19" s="10" t="s">
        <v>81</v>
      </c>
      <c r="D19" s="10">
        <f>COUNT(Responses!AM$2:AM$13)</f>
        <v>11</v>
      </c>
      <c r="E19" s="10">
        <f>IFERROR(MEDIAN(Responses!AM$2:AM$13),"")</f>
        <v>2</v>
      </c>
      <c r="F19" s="10">
        <f>IFERROR(QUARTILE(Responses!AM$2:AM$13,1),"")</f>
        <v>1</v>
      </c>
      <c r="G19" s="10">
        <f>IFERROR(QUARTILE(Responses!AM$2:AM$13,3),"")</f>
        <v>2</v>
      </c>
      <c r="H19" s="10">
        <f t="shared" si="0"/>
        <v>1</v>
      </c>
      <c r="I19" s="10">
        <f>COUNTIF(Responses!AM$2:AM$13,"&lt;=2")</f>
        <v>10</v>
      </c>
      <c r="J19" s="15">
        <f t="shared" si="1"/>
        <v>0.90909090909090906</v>
      </c>
      <c r="K19" s="10">
        <f t="shared" si="2"/>
        <v>1</v>
      </c>
    </row>
    <row r="20" spans="1:11" ht="33.950000000000003" customHeight="1" x14ac:dyDescent="0.25">
      <c r="A20" s="6" t="s">
        <v>310</v>
      </c>
      <c r="B20" s="6" t="s">
        <v>83</v>
      </c>
      <c r="C20" s="6" t="s">
        <v>84</v>
      </c>
      <c r="D20" s="6">
        <f>COUNT(Responses!AN$2:AN$13)</f>
        <v>11</v>
      </c>
      <c r="E20" s="6">
        <f>IFERROR(MEDIAN(Responses!AN$2:AN$13),"")</f>
        <v>2</v>
      </c>
      <c r="F20" s="6">
        <f>IFERROR(QUARTILE(Responses!AN$2:AN$13,1),"")</f>
        <v>1</v>
      </c>
      <c r="G20" s="6">
        <f>IFERROR(QUARTILE(Responses!AN$2:AN$13,3),"")</f>
        <v>2</v>
      </c>
      <c r="H20" s="6">
        <f t="shared" si="0"/>
        <v>1</v>
      </c>
      <c r="I20" s="6">
        <f>COUNTIF(Responses!AN$2:AN$13,"&lt;=2")</f>
        <v>11</v>
      </c>
      <c r="J20" s="16">
        <f t="shared" si="1"/>
        <v>1</v>
      </c>
      <c r="K20" s="6">
        <f t="shared" si="2"/>
        <v>1</v>
      </c>
    </row>
    <row r="21" spans="1:11" ht="33.950000000000003" customHeight="1" x14ac:dyDescent="0.25">
      <c r="A21" s="10" t="s">
        <v>310</v>
      </c>
      <c r="B21" s="10" t="s">
        <v>85</v>
      </c>
      <c r="C21" s="10" t="s">
        <v>86</v>
      </c>
      <c r="D21" s="10">
        <f>COUNT(Responses!AO$2:AO$13)</f>
        <v>12</v>
      </c>
      <c r="E21" s="10">
        <f>IFERROR(MEDIAN(Responses!AO$2:AO$13),"")</f>
        <v>5</v>
      </c>
      <c r="F21" s="10">
        <f>IFERROR(QUARTILE(Responses!AO$2:AO$13,1),"")</f>
        <v>4</v>
      </c>
      <c r="G21" s="10">
        <f>IFERROR(QUARTILE(Responses!AO$2:AO$13,3),"")</f>
        <v>5</v>
      </c>
      <c r="H21" s="10">
        <f t="shared" si="0"/>
        <v>1</v>
      </c>
      <c r="I21" s="10">
        <f>COUNTIF(Responses!AO$2:AO$13,"&gt;=4")</f>
        <v>11</v>
      </c>
      <c r="J21" s="15">
        <f t="shared" si="1"/>
        <v>0.91666666666666663</v>
      </c>
      <c r="K21" s="10">
        <f t="shared" si="2"/>
        <v>0</v>
      </c>
    </row>
    <row r="24" spans="1:11" ht="17.25" x14ac:dyDescent="0.3">
      <c r="A24" s="13" t="s">
        <v>311</v>
      </c>
    </row>
    <row r="25" spans="1:11" x14ac:dyDescent="0.25">
      <c r="A25" s="17" t="s">
        <v>312</v>
      </c>
      <c r="B25" s="17" t="s">
        <v>124</v>
      </c>
      <c r="C25" s="17" t="s">
        <v>288</v>
      </c>
      <c r="D25" s="17" t="s">
        <v>313</v>
      </c>
    </row>
    <row r="26" spans="1:11" ht="27.95" customHeight="1" x14ac:dyDescent="0.25">
      <c r="A26" s="18" t="s">
        <v>314</v>
      </c>
      <c r="B26" s="18">
        <f>COUNTIF(Responses!AD2:AD13,"Yes")</f>
        <v>11</v>
      </c>
      <c r="C26" s="18">
        <f>COUNTIF(Responses!AD2:AD13,"No")</f>
        <v>1</v>
      </c>
      <c r="D26" s="18">
        <f>COUNTIF(Responses!AD2:AD13,"Not sure")</f>
        <v>0</v>
      </c>
    </row>
    <row r="27" spans="1:11" ht="27.95" customHeight="1" x14ac:dyDescent="0.25">
      <c r="A27" s="18" t="s">
        <v>315</v>
      </c>
      <c r="B27" s="18">
        <f>COUNTIF(Responses!AE2:AE13,"Yes")</f>
        <v>11</v>
      </c>
      <c r="C27" s="18">
        <f>COUNTIF(Responses!AE2:AE13,"No")</f>
        <v>1</v>
      </c>
      <c r="D27" s="18">
        <f>COUNTIF(Responses!AE2:AE13,"Not sure")</f>
        <v>0</v>
      </c>
    </row>
    <row r="30" spans="1:11" ht="17.25" x14ac:dyDescent="0.3">
      <c r="A30" s="13" t="s">
        <v>316</v>
      </c>
    </row>
    <row r="31" spans="1:11" x14ac:dyDescent="0.25">
      <c r="A31" s="17" t="s">
        <v>317</v>
      </c>
      <c r="B31" s="17" t="s">
        <v>318</v>
      </c>
      <c r="C31" s="17" t="s">
        <v>319</v>
      </c>
      <c r="D31" s="21" t="s">
        <v>320</v>
      </c>
      <c r="E31" s="22"/>
      <c r="F31" s="22"/>
      <c r="G31" s="22"/>
      <c r="H31" s="22"/>
      <c r="I31" s="22"/>
      <c r="J31" s="22"/>
      <c r="K31" s="22"/>
    </row>
    <row r="32" spans="1:11" ht="30" customHeight="1" x14ac:dyDescent="0.25">
      <c r="A32" s="18" t="s">
        <v>321</v>
      </c>
      <c r="B32" s="18" t="s">
        <v>141</v>
      </c>
      <c r="C32" s="18">
        <f>COUNTIF(Responses!AX2:AX13,B32)</f>
        <v>7</v>
      </c>
      <c r="D32" s="25" t="s">
        <v>322</v>
      </c>
      <c r="E32" s="20"/>
      <c r="F32" s="20"/>
      <c r="G32" s="20"/>
      <c r="H32" s="20"/>
      <c r="I32" s="20"/>
      <c r="J32" s="20"/>
      <c r="K32" s="20"/>
    </row>
    <row r="33" spans="1:11" ht="30" customHeight="1" x14ac:dyDescent="0.25">
      <c r="A33" s="18" t="s">
        <v>321</v>
      </c>
      <c r="B33" s="18" t="s">
        <v>173</v>
      </c>
      <c r="C33" s="18">
        <f>COUNTIF(Responses!AX2:AX13,B33)</f>
        <v>4</v>
      </c>
      <c r="D33" s="25" t="s">
        <v>322</v>
      </c>
      <c r="E33" s="20"/>
      <c r="F33" s="20"/>
      <c r="G33" s="20"/>
      <c r="H33" s="20"/>
      <c r="I33" s="20"/>
      <c r="J33" s="20"/>
      <c r="K33" s="20"/>
    </row>
    <row r="34" spans="1:11" ht="30" customHeight="1" x14ac:dyDescent="0.25">
      <c r="A34" s="18" t="s">
        <v>323</v>
      </c>
      <c r="B34" s="18" t="s">
        <v>142</v>
      </c>
      <c r="C34" s="18">
        <f>COUNTIF(Responses!AY2:AY13,B34)</f>
        <v>5</v>
      </c>
      <c r="D34" s="25" t="s">
        <v>322</v>
      </c>
      <c r="E34" s="20"/>
      <c r="F34" s="20"/>
      <c r="G34" s="20"/>
      <c r="H34" s="20"/>
      <c r="I34" s="20"/>
      <c r="J34" s="20"/>
      <c r="K34" s="20"/>
    </row>
    <row r="35" spans="1:11" ht="30" customHeight="1" x14ac:dyDescent="0.25">
      <c r="A35" s="18" t="s">
        <v>323</v>
      </c>
      <c r="B35" s="18" t="s">
        <v>174</v>
      </c>
      <c r="C35" s="18">
        <f>COUNTIF(Responses!AY2:AY13,B35)</f>
        <v>1</v>
      </c>
      <c r="D35" s="25" t="s">
        <v>322</v>
      </c>
      <c r="E35" s="20"/>
      <c r="F35" s="20"/>
      <c r="G35" s="20"/>
      <c r="H35" s="20"/>
      <c r="I35" s="20"/>
      <c r="J35" s="20"/>
      <c r="K35" s="20"/>
    </row>
    <row r="36" spans="1:11" ht="30" customHeight="1" x14ac:dyDescent="0.25">
      <c r="A36" s="18" t="s">
        <v>323</v>
      </c>
      <c r="B36" s="18" t="s">
        <v>283</v>
      </c>
      <c r="C36" s="18">
        <f>COUNTIF(Responses!AY2:AY13,B36)</f>
        <v>1</v>
      </c>
      <c r="D36" s="25" t="s">
        <v>322</v>
      </c>
      <c r="E36" s="20"/>
      <c r="F36" s="20"/>
      <c r="G36" s="20"/>
      <c r="H36" s="20"/>
      <c r="I36" s="20"/>
      <c r="J36" s="20"/>
      <c r="K36" s="20"/>
    </row>
    <row r="37" spans="1:11" ht="30" customHeight="1" x14ac:dyDescent="0.25">
      <c r="A37" s="18" t="s">
        <v>323</v>
      </c>
      <c r="B37" s="18" t="s">
        <v>291</v>
      </c>
      <c r="C37" s="18">
        <f>COUNTIF(Responses!AY2:AY13,B37)</f>
        <v>1</v>
      </c>
      <c r="D37" s="25" t="s">
        <v>322</v>
      </c>
      <c r="E37" s="20"/>
      <c r="F37" s="20"/>
      <c r="G37" s="20"/>
      <c r="H37" s="20"/>
      <c r="I37" s="20"/>
      <c r="J37" s="20"/>
      <c r="K37" s="20"/>
    </row>
    <row r="40" spans="1:11" x14ac:dyDescent="0.25">
      <c r="A40" s="19" t="s">
        <v>324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</sheetData>
  <mergeCells count="16">
    <mergeCell ref="A40:K42"/>
    <mergeCell ref="D31:K31"/>
    <mergeCell ref="C2:D2"/>
    <mergeCell ref="E2:F2"/>
    <mergeCell ref="A3:B3"/>
    <mergeCell ref="D37:K37"/>
    <mergeCell ref="D33:K33"/>
    <mergeCell ref="G3:H3"/>
    <mergeCell ref="E3:F3"/>
    <mergeCell ref="A2:B2"/>
    <mergeCell ref="G2:H2"/>
    <mergeCell ref="D34:K34"/>
    <mergeCell ref="D36:K36"/>
    <mergeCell ref="D35:K35"/>
    <mergeCell ref="D32:K32"/>
    <mergeCell ref="C3:D3"/>
  </mergeCells>
  <conditionalFormatting sqref="J7:J21">
    <cfRule type="colorScale" priority="1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Questions</vt:lpstr>
      <vt:lpstr>Responses</vt:lpstr>
      <vt:lpstr>Summary</vt:lpstr>
      <vt:lpstr>Questions!Print_Area</vt:lpstr>
      <vt:lpstr>Responses!Print_Area</vt:lpstr>
      <vt:lpstr>Summary!Print_Area</vt:lpstr>
      <vt:lpstr>Questions!Print_Titles</vt:lpstr>
      <vt:lpstr>Responses!Print_Titles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SABBIR HOSSAIN</cp:lastModifiedBy>
  <dcterms:created xsi:type="dcterms:W3CDTF">2026-09-11T16:18:12Z</dcterms:created>
  <dcterms:modified xsi:type="dcterms:W3CDTF">2026-09-11T18:25:00Z</dcterms:modified>
</cp:coreProperties>
</file>